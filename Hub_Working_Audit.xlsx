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Entity Mapping" sheetId="2" state="visible" r:id="rId4"/>
    <sheet name="Canonical Schema (Hub Link)" sheetId="3" state="visible" r:id="rId5"/>
    <sheet name="Migration Plan" sheetId="4" state="visible" r:id="rId6"/>
    <sheet name="Hub Link Tabs" sheetId="5" state="visible" r:id="rId7"/>
    <sheet name="Working Sheet Tab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<sst xmlns="http://schemas.openxmlformats.org/spreadsheetml/2006/main" count="552" uniqueCount="378">
  <si>
    <t xml:space="preserve">Race Up — Hub Link vs Working Sheet Audit Report</t>
  </si>
  <si>
    <t xml:space="preserve">Generated: 2026-05-25 · Source: master Apps Script ?action=schemaAudit</t>
  </si>
  <si>
    <t xml:space="preserve">EXECUTIVE SUMMARY</t>
  </si>
  <si>
    <r>
      <rPr>
        <sz val="11"/>
        <color theme="1"/>
        <rFont val="Calibri"/>
        <family val="2"/>
        <charset val="1"/>
      </rPr>
      <t xml:space="preserve">Hub Link Sheet </t>
    </r>
    <r>
      <rPr>
        <sz val="11"/>
        <color theme="1"/>
        <rFont val="DejaVu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12 tabs / 433 rows · Working Sheet </t>
    </r>
    <r>
      <rPr>
        <sz val="11"/>
        <color theme="1"/>
        <rFont val="DejaVu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16 tabs / 819 rows</t>
    </r>
  </si>
  <si>
    <r>
      <rPr>
        <sz val="11"/>
        <color theme="1"/>
        <rFont val="DejaVu Sans"/>
        <family val="2"/>
      </rPr>
      <t xml:space="preserve">ปัญหาหลักที่พบ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</si>
  <si>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  1. Hub Link Sheet — 3 tabs </t>
    </r>
    <r>
      <rPr>
        <sz val="11"/>
        <color theme="1"/>
        <rFont val="DejaVu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'title row' </t>
    </r>
    <r>
      <rPr>
        <sz val="11"/>
        <color theme="1"/>
        <rFont val="DejaVu Sans"/>
        <family val="2"/>
      </rPr>
      <t xml:space="preserve">ที่ทำให้ </t>
    </r>
    <r>
      <rPr>
        <sz val="11"/>
        <color theme="1"/>
        <rFont val="Calibri"/>
        <family val="2"/>
        <charset val="1"/>
      </rPr>
      <t xml:space="preserve">master Apps Script parse fail</t>
    </r>
  </si>
  <si>
    <t xml:space="preserve">     (Project Assignment, Staff Directory, RunnerStats, Sponsor Update, Chat Spaces, Project Links)</t>
  </si>
  <si>
    <r>
      <rPr>
        <sz val="11"/>
        <color theme="1"/>
        <rFont val="Calibri"/>
        <family val="2"/>
        <charset val="1"/>
      </rPr>
      <t xml:space="preserve">  2. Sponsor Update — schema </t>
    </r>
    <r>
      <rPr>
        <sz val="11"/>
        <color theme="1"/>
        <rFont val="DejaVu Sans"/>
        <family val="2"/>
      </rPr>
      <t xml:space="preserve">เป็น </t>
    </r>
    <r>
      <rPr>
        <sz val="11"/>
        <color theme="1"/>
        <rFont val="Calibri"/>
        <family val="2"/>
        <charset val="1"/>
      </rPr>
      <t xml:space="preserve">per-event sections in same tab (</t>
    </r>
    <r>
      <rPr>
        <sz val="11"/>
        <color theme="1"/>
        <rFont val="DejaVu Sans"/>
        <family val="2"/>
      </rPr>
      <t xml:space="preserve">ไม่ใช่ </t>
    </r>
    <r>
      <rPr>
        <sz val="11"/>
        <color theme="1"/>
        <rFont val="Calibri"/>
        <family val="2"/>
        <charset val="1"/>
      </rPr>
      <t xml:space="preserve">flat table)</t>
    </r>
  </si>
  <si>
    <r>
      <rPr>
        <sz val="11"/>
        <color theme="1"/>
        <rFont val="Calibri"/>
        <family val="2"/>
        <charset val="1"/>
      </rPr>
      <t xml:space="preserve">  3. Project Info (Hub Link) vs Quick Fact (Working) </t>
    </r>
    <r>
      <rPr>
        <sz val="11"/>
        <color theme="1"/>
        <rFont val="DejaVu Sans"/>
        <family val="2"/>
      </rPr>
      <t xml:space="preserve">มีข้อมูลซ้ำซ้อน — ต่างกันแค่ </t>
    </r>
    <r>
      <rPr>
        <sz val="11"/>
        <color theme="1"/>
        <rFont val="Calibri"/>
        <family val="2"/>
        <charset val="1"/>
      </rPr>
      <t xml:space="preserve">column count</t>
    </r>
  </si>
  <si>
    <r>
      <rPr>
        <sz val="11"/>
        <color theme="1"/>
        <rFont val="Calibri"/>
        <family val="2"/>
        <charset val="1"/>
      </rPr>
      <t xml:space="preserve">  4. Project Assign (Working) </t>
    </r>
    <r>
      <rPr>
        <sz val="11"/>
        <color theme="1"/>
        <rFont val="DejaVu Sans"/>
        <family val="2"/>
      </rPr>
      <t xml:space="preserve">ไม่ได้ </t>
    </r>
    <r>
      <rPr>
        <sz val="11"/>
        <color theme="1"/>
        <rFont val="Calibri"/>
        <family val="2"/>
        <charset val="1"/>
      </rPr>
      <t xml:space="preserve">sync </t>
    </r>
    <r>
      <rPr>
        <sz val="11"/>
        <color theme="1"/>
        <rFont val="DejaVu Sans"/>
        <family val="2"/>
      </rPr>
      <t xml:space="preserve">ไป </t>
    </r>
    <r>
      <rPr>
        <sz val="11"/>
        <color theme="1"/>
        <rFont val="Calibri"/>
        <family val="2"/>
        <charset val="1"/>
      </rPr>
      <t xml:space="preserve">Hub Link 'Project Assignment' tab</t>
    </r>
  </si>
  <si>
    <r>
      <rPr>
        <sz val="11"/>
        <color theme="1"/>
        <rFont val="Calibri"/>
        <family val="2"/>
        <charset val="1"/>
      </rPr>
      <t xml:space="preserve">  5. Working Sheet </t>
    </r>
    <r>
      <rPr>
        <sz val="11"/>
        <color theme="1"/>
        <rFont val="DejaVu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8 tabs </t>
    </r>
    <r>
      <rPr>
        <sz val="11"/>
        <color theme="1"/>
        <rFont val="DejaVu Sans"/>
        <family val="2"/>
      </rPr>
      <t xml:space="preserve">ที่ </t>
    </r>
    <r>
      <rPr>
        <sz val="11"/>
        <color theme="1"/>
        <rFont val="Calibri"/>
        <family val="2"/>
        <charset val="1"/>
      </rPr>
      <t xml:space="preserve">Hub Link </t>
    </r>
    <r>
      <rPr>
        <sz val="11"/>
        <color theme="1"/>
        <rFont val="DejaVu Sans"/>
        <family val="2"/>
      </rPr>
      <t xml:space="preserve">ไม่มี </t>
    </r>
    <r>
      <rPr>
        <sz val="11"/>
        <color theme="1"/>
        <rFont val="Calibri"/>
        <family val="2"/>
        <charset val="1"/>
      </rPr>
      <t xml:space="preserve">(Followup, Next Week, Coming, Pacer, Calendar, etc.)</t>
    </r>
  </si>
  <si>
    <r>
      <rPr>
        <sz val="11"/>
        <color theme="1"/>
        <rFont val="DejaVu Sans"/>
        <family val="2"/>
      </rPr>
      <t xml:space="preserve">ข้อเสนอ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</si>
  <si>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  • Hub Link </t>
    </r>
    <r>
      <rPr>
        <sz val="11"/>
        <color theme="1"/>
        <rFont val="DejaVu Sans"/>
        <family val="2"/>
      </rPr>
      <t xml:space="preserve">เป็น </t>
    </r>
    <r>
      <rPr>
        <sz val="11"/>
        <color theme="1"/>
        <rFont val="Calibri"/>
        <family val="2"/>
        <charset val="1"/>
      </rPr>
      <t xml:space="preserve">SoT — flatten schema </t>
    </r>
    <r>
      <rPr>
        <sz val="11"/>
        <color theme="1"/>
        <rFont val="DejaVu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tab (</t>
    </r>
    <r>
      <rPr>
        <sz val="11"/>
        <color theme="1"/>
        <rFont val="DejaVu Sans"/>
        <family val="2"/>
      </rPr>
      <t xml:space="preserve">ลบ </t>
    </r>
    <r>
      <rPr>
        <sz val="11"/>
        <color theme="1"/>
        <rFont val="Calibri"/>
        <family val="2"/>
        <charset val="1"/>
      </rPr>
      <t xml:space="preserve">title row, header </t>
    </r>
    <r>
      <rPr>
        <sz val="11"/>
        <color theme="1"/>
        <rFont val="DejaVu Sans"/>
        <family val="2"/>
      </rPr>
      <t xml:space="preserve">อยู่ </t>
    </r>
    <r>
      <rPr>
        <sz val="11"/>
        <color theme="1"/>
        <rFont val="Calibri"/>
        <family val="2"/>
        <charset val="1"/>
      </rPr>
      <t xml:space="preserve">row 1)</t>
    </r>
  </si>
  <si>
    <r>
      <rPr>
        <sz val="11"/>
        <color theme="1"/>
        <rFont val="DejaVu Sans"/>
        <family val="2"/>
      </rPr>
      <t xml:space="preserve">  • เพิ่ม </t>
    </r>
    <r>
      <rPr>
        <sz val="11"/>
        <color theme="1"/>
        <rFont val="Calibri"/>
        <family val="2"/>
        <charset val="1"/>
      </rPr>
      <t xml:space="preserve">Hub Link tabs: Events, Staff (rename Staff Directory), ProjectAssign (rename), Suppliers, Pacers</t>
    </r>
  </si>
  <si>
    <r>
      <rPr>
        <sz val="11"/>
        <color theme="1"/>
        <rFont val="Calibri"/>
        <family val="2"/>
        <charset val="1"/>
      </rPr>
      <t xml:space="preserve">  • Working Sheet </t>
    </r>
    <r>
      <rPr>
        <sz val="11"/>
        <color theme="1"/>
        <rFont val="DejaVu Sans"/>
        <family val="2"/>
      </rPr>
      <t xml:space="preserve">ปรับ </t>
    </r>
    <r>
      <rPr>
        <sz val="11"/>
        <color theme="1"/>
        <rFont val="Calibri"/>
        <family val="2"/>
        <charset val="1"/>
      </rPr>
      <t xml:space="preserve">column </t>
    </r>
    <r>
      <rPr>
        <sz val="11"/>
        <color theme="1"/>
        <rFont val="DejaVu Sans"/>
        <family val="2"/>
      </rPr>
      <t xml:space="preserve">ให้ตรง </t>
    </r>
    <r>
      <rPr>
        <sz val="11"/>
        <color theme="1"/>
        <rFont val="Calibri"/>
        <family val="2"/>
        <charset val="1"/>
      </rPr>
      <t xml:space="preserve">Hub Link → sync 1-way </t>
    </r>
    <r>
      <rPr>
        <sz val="11"/>
        <color theme="1"/>
        <rFont val="DejaVu Sans"/>
        <family val="2"/>
      </rPr>
      <t xml:space="preserve">ผ่าน </t>
    </r>
    <r>
      <rPr>
        <sz val="11"/>
        <color theme="1"/>
        <rFont val="Calibri"/>
        <family val="2"/>
        <charset val="1"/>
      </rPr>
      <t xml:space="preserve">Apps Script</t>
    </r>
  </si>
  <si>
    <r>
      <rPr>
        <sz val="11"/>
        <color theme="1"/>
        <rFont val="Calibri"/>
        <family val="2"/>
        <charset val="1"/>
      </rPr>
      <t xml:space="preserve">  • Operational tabs (Followup, Next Week, Coming) </t>
    </r>
    <r>
      <rPr>
        <sz val="11"/>
        <color theme="1"/>
        <rFont val="DejaVu Sans"/>
        <family val="2"/>
      </rPr>
      <t xml:space="preserve">อยู่ใน </t>
    </r>
    <r>
      <rPr>
        <sz val="11"/>
        <color theme="1"/>
        <rFont val="Calibri"/>
        <family val="2"/>
        <charset val="1"/>
      </rPr>
      <t xml:space="preserve">Working </t>
    </r>
    <r>
      <rPr>
        <sz val="11"/>
        <color theme="1"/>
        <rFont val="DejaVu Sans"/>
        <family val="2"/>
      </rPr>
      <t xml:space="preserve">ต่อ — ไม่ต้อง </t>
    </r>
    <r>
      <rPr>
        <sz val="11"/>
        <color theme="1"/>
        <rFont val="Calibri"/>
        <family val="2"/>
        <charset val="1"/>
      </rPr>
      <t xml:space="preserve">sync</t>
    </r>
  </si>
  <si>
    <t xml:space="preserve">STATISTICS</t>
  </si>
  <si>
    <t xml:space="preserve">Metric</t>
  </si>
  <si>
    <t xml:space="preserve">Hub Link</t>
  </si>
  <si>
    <t xml:space="preserve">Working Sheet</t>
  </si>
  <si>
    <t xml:space="preserve">Note</t>
  </si>
  <si>
    <t xml:space="preserve">Total Tabs</t>
  </si>
  <si>
    <t xml:space="preserve">Working มี 4 tabs เพิ่ม (Followup, Next Week, Coming, Pacer, Calendar, PR Timeline, Detail Assign, จอง Supplier, Sponsor, Claude Cache, Contact, Project Assign Backup)</t>
  </si>
  <si>
    <t xml:space="preserve">Total Rows</t>
  </si>
  <si>
    <t xml:space="preserve">Working มี data manual มากกว่า</t>
  </si>
  <si>
    <t xml:space="preserve">Hidden Tabs</t>
  </si>
  <si>
    <t xml:space="preserve">Claude Cache (hidden, reserved for =CLAUDE() functions)</t>
  </si>
  <si>
    <t xml:space="preserve">Tabs ที่ Master ใช้ดึงข้อมูล</t>
  </si>
  <si>
    <t xml:space="preserve">4 (Project Info, Staff Directory, Project Assignment, Sponsor Update)</t>
  </si>
  <si>
    <t xml:space="preserve">4 (Quick Fact, Contact, Project Assign, Sponsor Update)</t>
  </si>
  <si>
    <t xml:space="preserve">fallback chain Hub Link → Working</t>
  </si>
  <si>
    <t xml:space="preserve">Tabs ที่ master parse fail</t>
  </si>
  <si>
    <t xml:space="preserve">Project Assignment, Staff Directory, Sponsor Update (Hub Link)</t>
  </si>
  <si>
    <t xml:space="preserve">Entity Mapping — Hub Link vs Working Sheet</t>
  </si>
  <si>
    <t xml:space="preserve">แต่ละ entity ตอนนี้อยู่ที่ไหน · ปัญหา · แผน sync 1-way (Working → Hub Link)</t>
  </si>
  <si>
    <t xml:space="preserve">Entity</t>
  </si>
  <si>
    <t xml:space="preserve">Hub Link Tab</t>
  </si>
  <si>
    <t xml:space="preserve">Working Tab</t>
  </si>
  <si>
    <t xml:space="preserve">Master ใช้ (current)</t>
  </si>
  <si>
    <t xml:space="preserve">Conflict / Issue</t>
  </si>
  <si>
    <t xml:space="preserve">แผน Sync</t>
  </si>
  <si>
    <t xml:space="preserve">Priority</t>
  </si>
  <si>
    <t xml:space="preserve">Events (Project Info)</t>
  </si>
  <si>
    <t xml:space="preserve">Project Info (22 rows, 13 cols)</t>
  </si>
  <si>
    <t xml:space="preserve">Quick Fact (27 rows, 7 cols)</t>
  </si>
  <si>
    <t xml:space="preserve">Quick Fact (working)</t>
  </si>
  <si>
    <t xml:space="preserve">Quick Fact มี extra rows · Hub Link มี extra cols (FB/Banner/Logo/RegLink)</t>
  </si>
  <si>
    <t xml:space="preserve">Working &gt; Quick Fact → Hub Link &gt; Project Info (เพิ่ม cols ใน Working)</t>
  </si>
  <si>
    <t xml:space="preserve">P1</t>
  </si>
  <si>
    <t xml:space="preserve">Staff</t>
  </si>
  <si>
    <t xml:space="preserve">Staff Directory (25 rows, 11 cols, title row)</t>
  </si>
  <si>
    <t xml:space="preserve">Contact (22 rows, 7 cols)</t>
  </si>
  <si>
    <t xml:space="preserve">Contact (working)</t>
  </si>
  <si>
    <t xml:space="preserve">Hub Link มี extra cols (Status, Name Lastname, EmpCode, StartDate, Dept) · มี title row</t>
  </si>
  <si>
    <t xml:space="preserve">Working &gt; Contact → Hub Link &gt; Staff Directory (clean title row first)</t>
  </si>
  <si>
    <t xml:space="preserve">Project Assignment</t>
  </si>
  <si>
    <t xml:space="preserve">Project Assignment (32 rows, 18 cols, title row)</t>
  </si>
  <si>
    <t xml:space="preserve">Project Assign (38 rows, 14 cols, title row)</t>
  </si>
  <si>
    <t xml:space="preserve">hub-link (fail - no rows)</t>
  </si>
  <si>
    <t xml:space="preserve">ทั้งสอง tabs มี title row · Hub Link ไม่ sync จาก Working</t>
  </si>
  <si>
    <t xml:space="preserve">Working &gt; Project Assign → Hub Link &gt; Project Assignment (sync ผ่าน Apps Script)</t>
  </si>
  <si>
    <t xml:space="preserve">P1 BLOCKER</t>
  </si>
  <si>
    <t xml:space="preserve">Sponsors</t>
  </si>
  <si>
    <t xml:space="preserve">Sponsor Update (175 rows, 12 cols, per-event)</t>
  </si>
  <si>
    <t xml:space="preserve">Sponsor Update (176 rows, 11 cols, per-event)</t>
  </si>
  <si>
    <t xml:space="preserve">hub-link:Sponsor Update</t>
  </si>
  <si>
    <t xml:space="preserve">ทั้งสอง tabs เป็น per-event sections (ไม่ flat) · column ต่างกัน (Target/Earn vs Budget)</t>
  </si>
  <si>
    <t xml:space="preserve">Restructure → flat schema (เพิ่ม EventCode column) → Hub Link &gt; Sponsors</t>
  </si>
  <si>
    <t xml:space="preserve">P2</t>
  </si>
  <si>
    <t xml:space="preserve">RunnerStats</t>
  </si>
  <si>
    <t xml:space="preserve">RunnerStats (69 rows, 25 cols, group headers)</t>
  </si>
  <si>
    <t xml:space="preserve">— (ไม่มี)</t>
  </si>
  <si>
    <t xml:space="preserve">— (ไม่ใช้)</t>
  </si>
  <si>
    <t xml:space="preserve">Hub Link มีอย่างเดียว · group headers ต้อง skip row 1</t>
  </si>
  <si>
    <t xml:space="preserve">Clean group headers → Hub Link only (master serve)</t>
  </si>
  <si>
    <t xml:space="preserve">Suppliers</t>
  </si>
  <si>
    <t xml:space="preserve">จอง Supplier (18 rows, 23 cols, group headers)</t>
  </si>
  <si>
    <t xml:space="preserve">Working มีอย่างเดียว · per-category column groups (ต้อง pivot)</t>
  </si>
  <si>
    <t xml:space="preserve">Working &gt; จอง Supplier → Hub Link &gt; Suppliers (flatten + EventCode + Category cols)</t>
  </si>
  <si>
    <t xml:space="preserve">P3</t>
  </si>
  <si>
    <t xml:space="preserve">Pacers</t>
  </si>
  <si>
    <t xml:space="preserve">Pacer Slot (25 rows, 13 cols)</t>
  </si>
  <si>
    <t xml:space="preserve">Working มีอย่างเดียว · schema OK</t>
  </si>
  <si>
    <t xml:space="preserve">Working &gt; Pacer Slot → Hub Link &gt; Pacers (direct copy)</t>
  </si>
  <si>
    <t xml:space="preserve">Sponsorship Dashboard</t>
  </si>
  <si>
    <t xml:space="preserve">Sponsor (60 rows, 15 cols, title row)</t>
  </si>
  <si>
    <t xml:space="preserve">Working มีอย่างเดียว · aggregated view ของ sponsors</t>
  </si>
  <si>
    <t xml:space="preserve">Working &gt; Sponsor → Hub Link &gt; SponsorshipDashboard</t>
  </si>
  <si>
    <t xml:space="preserve">PR Timeline</t>
  </si>
  <si>
    <t xml:space="preserve">PR Timeline (46 rows, 16 cols)</t>
  </si>
  <si>
    <t xml:space="preserve">Working มีอย่างเดียว</t>
  </si>
  <si>
    <t xml:space="preserve">Working &gt; PR Timeline → Hub Link &gt; PRTimeline</t>
  </si>
  <si>
    <t xml:space="preserve">Detail Assign</t>
  </si>
  <si>
    <t xml:space="preserve">Detail Assign (27 rows, 12 cols)</t>
  </si>
  <si>
    <t xml:space="preserve">Working &gt; Detail Assign → Hub Link &gt; DetailAssign</t>
  </si>
  <si>
    <t xml:space="preserve">Calendar</t>
  </si>
  <si>
    <t xml:space="preserve">Calendar (10 rows, 8 cols, grid)</t>
  </si>
  <si>
    <t xml:space="preserve">Grid format (Jan-Dec) — ไม่ใช่ table · UI only</t>
  </si>
  <si>
    <t xml:space="preserve">ไม่ sync — Working เป็น visual aid</t>
  </si>
  <si>
    <t xml:space="preserve">P4 SKIP</t>
  </si>
  <si>
    <t xml:space="preserve">Followup</t>
  </si>
  <si>
    <t xml:space="preserve">Followup (105 rows, 13 cols, 3 sections)</t>
  </si>
  <si>
    <t xml:space="preserve">Working มีอย่างเดียว · 3 sections side-by-side</t>
  </si>
  <si>
    <t xml:space="preserve">ไม่ sync — operational tool ใน Working ต่อ</t>
  </si>
  <si>
    <t xml:space="preserve">Next Week</t>
  </si>
  <si>
    <t xml:space="preserve">Next Week (29 rows, 5 cols)</t>
  </si>
  <si>
    <t xml:space="preserve">Manual todo · ephemeral</t>
  </si>
  <si>
    <t xml:space="preserve">ไม่ sync — operational tool</t>
  </si>
  <si>
    <t xml:space="preserve">Coming Project</t>
  </si>
  <si>
    <t xml:space="preserve">Coming (11 rows, 7 cols)</t>
  </si>
  <si>
    <t xml:space="preserve">New project pipeline · operational</t>
  </si>
  <si>
    <t xml:space="preserve">ไม่ sync — operational</t>
  </si>
  <si>
    <t xml:space="preserve">Post Event Data</t>
  </si>
  <si>
    <t xml:space="preserve">Post Event Data (1 row, 6 cols)</t>
  </si>
  <si>
    <t xml:space="preserve">— (form-ops POST)</t>
  </si>
  <si>
    <t xml:space="preserve">Hub Link มีอย่างเดียว · receive จาก form-ops</t>
  </si>
  <si>
    <t xml:space="preserve">Keep in Hub Link only</t>
  </si>
  <si>
    <t xml:space="preserve">OK</t>
  </si>
  <si>
    <t xml:space="preserve">Post Event History</t>
  </si>
  <si>
    <t xml:space="preserve">Post Event History (1 row, 7 cols)</t>
  </si>
  <si>
    <t xml:space="preserve">Hub Link มีอย่างเดียว · audit log</t>
  </si>
  <si>
    <t xml:space="preserve">Budget Links</t>
  </si>
  <si>
    <t xml:space="preserve">Budget CSV (14 rows, 2 cols)</t>
  </si>
  <si>
    <t xml:space="preserve">— (ใช้ใน post-event)</t>
  </si>
  <si>
    <t xml:space="preserve">Hub Link มีอย่างเดียว · link Budget Sheets per event</t>
  </si>
  <si>
    <t xml:space="preserve">Notes</t>
  </si>
  <si>
    <t xml:space="preserve">Notes (2 rows, 4 cols)</t>
  </si>
  <si>
    <t xml:space="preserve">— (ใช้ใน hub)</t>
  </si>
  <si>
    <t xml:space="preserve">Hub Link มีอย่างเดียว · sticky notes</t>
  </si>
  <si>
    <t xml:space="preserve">Announcements</t>
  </si>
  <si>
    <t xml:space="preserve">Announcements (3 rows, 5 cols)</t>
  </si>
  <si>
    <t xml:space="preserve">Hub Link มีอย่างเดียว · ประกาศ</t>
  </si>
  <si>
    <t xml:space="preserve">Project Links / Chat Spaces</t>
  </si>
  <si>
    <t xml:space="preserve">Project Links (30 rows) / Chat Spaces (47 rows)</t>
  </si>
  <si>
    <t xml:space="preserve">Hub Link มีอย่างเดียว · UI ของ links</t>
  </si>
  <si>
    <t xml:space="preserve">Hub Link Canonical Schema — SoT Design</t>
  </si>
  <si>
    <t xml:space="preserve">ข้อเสนอ schema มาตรฐานสำหรับ Hub Link Sheet · header อยู่ row 1 · ไม่มี title row · flat table</t>
  </si>
  <si>
    <t xml:space="preserve">Hub Link Tab (new)</t>
  </si>
  <si>
    <t xml:space="preserve">Columns (row 1)</t>
  </si>
  <si>
    <t xml:space="preserve">Rename From</t>
  </si>
  <si>
    <t xml:space="preserve">Action</t>
  </si>
  <si>
    <t xml:space="preserve">Status</t>
  </si>
  <si>
    <t xml:space="preserve">Events</t>
  </si>
  <si>
    <t xml:space="preserve">EventCode · EventName · ExpoDate · RaceDate · Province · Venue · Distances · Category · Series · Target · Color · FB · Banner · Logo · RegLink · Status</t>
  </si>
  <si>
    <t xml:space="preserve">Merge Project Info + Quick Fact · 22 rows · master ใช้ตรงๆ</t>
  </si>
  <si>
    <t xml:space="preserve">Project Info</t>
  </si>
  <si>
    <t xml:space="preserve">Add 4 cols: Province, Venue, Status, Color, Series · remove blank col A</t>
  </si>
  <si>
    <t xml:space="preserve">TO DO</t>
  </si>
  <si>
    <t xml:space="preserve">EmpNo · Nickname · NameLastname · Level · Role · Department · Email · Phone · EmergencyContact · Alias · EmpCode · StartDate · Status</t>
  </si>
  <si>
    <t xml:space="preserve">Clean title row · 22 rows · master ใช้ตรงๆ</t>
  </si>
  <si>
    <t xml:space="preserve">Staff Directory</t>
  </si>
  <si>
    <t xml:space="preserve">Remove title row 1-3 · ข้อมูลย้ายขึ้น row 1</t>
  </si>
  <si>
    <t xml:space="preserve">ProjectAssign</t>
  </si>
  <si>
    <t xml:space="preserve">No · EventCode · Project · Point · EventDate · Lead · CO1 · CO2 · Route · AE · PR · Graphic · Tech · TeamEvent · TeamRace</t>
  </si>
  <si>
    <t xml:space="preserve">Clean title row · 38 rows · master ใช้ตรงๆ</t>
  </si>
  <si>
    <t xml:space="preserve">Remove title row · sync จาก Working &gt; Project Assign</t>
  </si>
  <si>
    <t xml:space="preserve">No · EventCode · Client · Package · Category · Status · PIC · Remark · Contact · Target · Earn · Deliverables · LastUpdated</t>
  </si>
  <si>
    <t xml:space="preserve">Restructure จาก per-event sections → flat (เพิ่ม EventCode column) · ~170 rows</t>
  </si>
  <si>
    <t xml:space="preserve">Sponsor Update</t>
  </si>
  <si>
    <t xml:space="preserve">Restructure: ลบ per-event header rows · เพิ่ม column EventCode</t>
  </si>
  <si>
    <t xml:space="preserve">EventCode · Category · Supplier · Status · Quantity · InstallDate · UseDate · UseTime · RemoveDate · Notes</t>
  </si>
  <si>
    <t xml:space="preserve">Restructure จาก จอง Supplier (Working) · flatten per-category groups</t>
  </si>
  <si>
    <t xml:space="preserve">NEW (from จอง Supplier)</t>
  </si>
  <si>
    <t xml:space="preserve">Create from Working &gt; จอง Supplier (pivot per-category columns to rows)</t>
  </si>
  <si>
    <t xml:space="preserve">No · EventCode · EventName · Date · Sponsor · Pacer42 · Pacer21 · Pacer10 · Sweeper · Plogging · Medical · Status</t>
  </si>
  <si>
    <t xml:space="preserve">Direct copy จาก Pacer Slot</t>
  </si>
  <si>
    <t xml:space="preserve">NEW (from Pacer Slot)</t>
  </si>
  <si>
    <t xml:space="preserve">Copy Working &gt; Pacer Slot → Hub Link &gt; Pacers</t>
  </si>
  <si>
    <t xml:space="preserve">PRTimeline</t>
  </si>
  <si>
    <t xml:space="preserve">No · EventCode · EventDate · KickOffPR · RegisterOpen · RegisterClose · PressCon · PR · Graphic · RegisPeriod</t>
  </si>
  <si>
    <t xml:space="preserve">Direct copy จาก PR Timeline</t>
  </si>
  <si>
    <t xml:space="preserve">NEW (from PR Timeline)</t>
  </si>
  <si>
    <t xml:space="preserve">Copy Working &gt; PR Timeline → Hub Link &gt; PRTimeline</t>
  </si>
  <si>
    <t xml:space="preserve">DetailAssign</t>
  </si>
  <si>
    <t xml:space="preserve">No · EventCode · Agency · Area · Production · Food · Volunteer · Police · Medical · Rescue · Officials · Sponsor</t>
  </si>
  <si>
    <t xml:space="preserve">Direct copy จาก Detail Assign</t>
  </si>
  <si>
    <t xml:space="preserve">NEW (from Detail Assign)</t>
  </si>
  <si>
    <t xml:space="preserve">Copy Working &gt; Detail Assign → Hub Link &gt; DetailAssign</t>
  </si>
  <si>
    <t xml:space="preserve">SponsorshipDashboard</t>
  </si>
  <si>
    <t xml:space="preserve">No · EventName · Race · Date · T1Brand · T2Brand · T3Brand · WIP · PIC · Target · Confirmed · TBC · T1 · T2 · T3</t>
  </si>
  <si>
    <t xml:space="preserve">Clean title row จาก Sponsor (Working)</t>
  </si>
  <si>
    <t xml:space="preserve">NEW (from Sponsor)</t>
  </si>
  <si>
    <t xml:space="preserve">Remove title row จาก Working &gt; Sponsor → Hub Link &gt; SponsorshipDashboard</t>
  </si>
  <si>
    <t xml:space="preserve">EventCode · EventName · Year · Date · Location · Type · Series · TotalRegistered · TotalActual · ShowRate · Male · Female · MalePct · U20 · 20-29 · 30-39 · 40-49 · 50-59 · 60+ · 5K · 10K · Half · Full · Thai · Foreign</t>
  </si>
  <si>
    <t xml:space="preserve">Clean group headers · 69 rows · master ใช้ตรงๆ</t>
  </si>
  <si>
    <t xml:space="preserve">Remove group header row 1 · merge headers ขึ้น row 1</t>
  </si>
  <si>
    <t xml:space="preserve">Date · Tag · Title · Author · Status</t>
  </si>
  <si>
    <t xml:space="preserve">OK already · 3 rows</t>
  </si>
  <si>
    <t xml:space="preserve">Keep as-is</t>
  </si>
  <si>
    <t xml:space="preserve">Email · Text · Color · Timestamp</t>
  </si>
  <si>
    <t xml:space="preserve">OK already · 2 rows</t>
  </si>
  <si>
    <t xml:space="preserve">BudgetLinks</t>
  </si>
  <si>
    <t xml:space="preserve">EventCode · BudgetSheetURL</t>
  </si>
  <si>
    <t xml:space="preserve">Add header row · 14 rows</t>
  </si>
  <si>
    <t xml:space="preserve">Budget CSV</t>
  </si>
  <si>
    <t xml:space="preserve">Add header row + rename</t>
  </si>
  <si>
    <t xml:space="preserve">ProjectLinks</t>
  </si>
  <si>
    <t xml:space="preserve">No · Category · Title · URL · Description · UpdatedBy · UpdatedAt</t>
  </si>
  <si>
    <t xml:space="preserve">Restructure จาก current UI tab → flat table</t>
  </si>
  <si>
    <t xml:space="preserve">Project Links</t>
  </si>
  <si>
    <t xml:space="preserve">Restructure (current is freeform)</t>
  </si>
  <si>
    <t xml:space="preserve">OPTIONAL</t>
  </si>
  <si>
    <t xml:space="preserve">ChatSpaces</t>
  </si>
  <si>
    <t xml:space="preserve">No · Room · URL · Type · Default · Description</t>
  </si>
  <si>
    <t xml:space="preserve">Chat Spaces</t>
  </si>
  <si>
    <t xml:space="preserve">PostEventData</t>
  </si>
  <si>
    <t xml:space="preserve">EventCode · SectionId · Submitter · SubmitterEmail · SavedAt · DataJSON</t>
  </si>
  <si>
    <t xml:space="preserve">OK already · receive จาก form-ops</t>
  </si>
  <si>
    <t xml:space="preserve">PostEventHistory</t>
  </si>
  <si>
    <t xml:space="preserve">Timestamp · EventCode · SectionId · Submitter · SubmitterEmail · Action · DataJSON</t>
  </si>
  <si>
    <t xml:space="preserve">OK already · log จาก form-ops</t>
  </si>
  <si>
    <t xml:space="preserve">Migration Plan — Hub Link &amp; Working Sheet Restructure</t>
  </si>
  <si>
    <t xml:space="preserve">5-step plan · Hub Link = SoT · Working = manual mirror (1-way sync)</t>
  </si>
  <si>
    <t xml:space="preserve">Step</t>
  </si>
  <si>
    <t xml:space="preserve">Task</t>
  </si>
  <si>
    <t xml:space="preserve">Where</t>
  </si>
  <si>
    <t xml:space="preserve">Effort</t>
  </si>
  <si>
    <t xml:space="preserve">Risk</t>
  </si>
  <si>
    <t xml:space="preserve">Owner</t>
  </si>
  <si>
    <t xml:space="preserve">STEP 1</t>
  </si>
  <si>
    <t xml:space="preserve">Backup ทั้ง 2 sheets ก่อน (File &gt; Make a copy)</t>
  </si>
  <si>
    <t xml:space="preserve">Hub Link + Working</t>
  </si>
  <si>
    <t xml:space="preserve">5 min</t>
  </si>
  <si>
    <t xml:space="preserve">Low</t>
  </si>
  <si>
    <t xml:space="preserve">Korn</t>
  </si>
  <si>
    <t xml:space="preserve">รอ approval schema proposal ก่อนแตะ sheets</t>
  </si>
  <si>
    <t xml:space="preserve">—</t>
  </si>
  <si>
    <t xml:space="preserve">STEP 2</t>
  </si>
  <si>
    <t xml:space="preserve">Clean Hub Link "title rows" — 3 tabs (Staff Directory, Project Assignment, Chat Spaces, Project Links)</t>
  </si>
  <si>
    <t xml:space="preserve">15 min</t>
  </si>
  <si>
    <t xml:space="preserve">Low (just delete top 3 rows)</t>
  </si>
  <si>
    <t xml:space="preserve">Clean Hub Link "group headers" — RunnerStats (merge row 1+2)</t>
  </si>
  <si>
    <t xml:space="preserve">Verify: master ?action=health → projects = ok, count &gt; 0</t>
  </si>
  <si>
    <t xml:space="preserve">Browser</t>
  </si>
  <si>
    <t xml:space="preserve">1 min</t>
  </si>
  <si>
    <t xml:space="preserve">STEP 3</t>
  </si>
  <si>
    <t xml:space="preserve">Add columns ใน Hub Link Project Info: Province, Venue, Status, Color, Series</t>
  </si>
  <si>
    <t xml:space="preserve">Copy ค่าจาก master events.js (มี 22 events ครบ) วาง</t>
  </si>
  <si>
    <t xml:space="preserve">10 min</t>
  </si>
  <si>
    <t xml:space="preserve">Rename: Project Info → Events · Staff Directory → Staff · Project Assignment → ProjectAssign</t>
  </si>
  <si>
    <t xml:space="preserve">2 min</t>
  </si>
  <si>
    <t xml:space="preserve">Low (URL ไม่กระทบ)</t>
  </si>
  <si>
    <t xml:space="preserve">STEP 4</t>
  </si>
  <si>
    <t xml:space="preserve">Restructure Sponsor Update → flat table (เพิ่ม EventCode column)</t>
  </si>
  <si>
    <t xml:space="preserve">30 min</t>
  </si>
  <si>
    <t xml:space="preserve">Medium (manual restructure)</t>
  </si>
  <si>
    <t xml:space="preserve">Korn + ผมช่วย script)</t>
  </si>
  <si>
    <t xml:space="preserve">หรือ: เขียน Apps Script function "flattenSponsors()" → run ครั้งเดียว</t>
  </si>
  <si>
    <t xml:space="preserve">Apps Script</t>
  </si>
  <si>
    <t xml:space="preserve">20 min</t>
  </si>
  <si>
    <t xml:space="preserve">ผมเขียน + Korn run</t>
  </si>
  <si>
    <t xml:space="preserve">STEP 5</t>
  </si>
  <si>
    <t xml:space="preserve">Setup Phase B sync (Working → Hub Link Live_* tabs)</t>
  </si>
  <si>
    <t xml:space="preserve">Medium</t>
  </si>
  <si>
    <t xml:space="preserve">Korn (paste 3 Apps Scripts)</t>
  </si>
  <si>
    <t xml:space="preserve">Test: edit Working &gt; Quick Fact → 60s → Hub Link &gt; Live_QuickFact updated</t>
  </si>
  <si>
    <t xml:space="preserve">Working + Hub Link</t>
  </si>
  <si>
    <t xml:space="preserve">Update master TAB_FALLBACKS ให้ใช้ Live_* ก่อน</t>
  </si>
  <si>
    <t xml:space="preserve">master Code.gs</t>
  </si>
  <si>
    <t xml:space="preserve">Low (already supports fallback)</t>
  </si>
  <si>
    <t xml:space="preserve">ผมแก้ + push</t>
  </si>
  <si>
    <t xml:space="preserve">STEP 6 (optional)</t>
  </si>
  <si>
    <t xml:space="preserve">Restructure Suppliers (จอง Supplier) → flat table in Hub Link</t>
  </si>
  <si>
    <t xml:space="preserve">45 min</t>
  </si>
  <si>
    <t xml:space="preserve">TBD</t>
  </si>
  <si>
    <t xml:space="preserve">Add Pacers, PRTimeline, DetailAssign, SponsorshipDashboard tabs ใน Hub Link</t>
  </si>
  <si>
    <t xml:space="preserve">60 min</t>
  </si>
  <si>
    <t xml:space="preserve">Low (just copy from Working)</t>
  </si>
  <si>
    <t xml:space="preserve">VERIFY</t>
  </si>
  <si>
    <t xml:space="preserve">master ?action=health → ทุก endpoint ok + count &gt; 0 + source: hub-link</t>
  </si>
  <si>
    <t xml:space="preserve">Test แต่ละ app (form/ops/hub) → console เห็น "from master CDN"</t>
  </si>
  <si>
    <t xml:space="preserve">Hub Link Sheet — Tab Inventory</t>
  </si>
  <si>
    <t xml:space="preserve">ID: 1Um6I4VG9dokB5UlSb1ncLWdomeTd79WamewJ9OjPd8Q · 12 tabs / 433 rows</t>
  </si>
  <si>
    <t xml:space="preserve">Tab Name</t>
  </si>
  <si>
    <t xml:space="preserve">Row 1 Headers (raw)</t>
  </si>
  <si>
    <t xml:space="preserve">Actual Field Headers</t>
  </si>
  <si>
    <t xml:space="preserve">Rows</t>
  </si>
  <si>
    <t xml:space="preserve">Cols</t>
  </si>
  <si>
    <t xml:space="preserve">Hidden</t>
  </si>
  <si>
    <t xml:space="preserve">Parse Status</t>
  </si>
  <si>
    <t xml:space="preserve">Purpose</t>
  </si>
  <si>
    <t xml:space="preserve">R [title only]</t>
  </si>
  <si>
    <t xml:space="preserve">— (title row, no field headers)</t>
  </si>
  <si>
    <t xml:space="preserve">NO FIELDS</t>
  </si>
  <si>
    <t xml:space="preserve">UI สำหรับ link Google Drive ของ sub-files</t>
  </si>
  <si>
    <t xml:space="preserve">Timestamp, EventCode, SectionId, Submitter, SubmitterEmail, Action, DataJSON</t>
  </si>
  <si>
    <t xml:space="preserve">Log การ submit post-event form</t>
  </si>
  <si>
    <t xml:space="preserve">EventCode, SectionId, Submitter, SubmitterEmail, SavedAt, DataJSON</t>
  </si>
  <si>
    <t xml:space="preserve">Current state ของ post-event data</t>
  </si>
  <si>
    <t xml:space="preserve">(blank), Budget CSV file</t>
  </si>
  <si>
    <t xml:space="preserve">EventCode, Budget Sheet URL</t>
  </si>
  <si>
    <t xml:space="preserve">PARTIAL</t>
  </si>
  <si>
    <t xml:space="preserve">Link Budget Google Sheet per event</t>
  </si>
  <si>
    <t xml:space="preserve">Email, Text, Color, Timestamp</t>
  </si>
  <si>
    <t xml:space="preserve">Sticky notes สำหรับทีม</t>
  </si>
  <si>
    <t xml:space="preserve">Raceup Hub Chat Spaces Link Management [title only]</t>
  </si>
  <si>
    <t xml:space="preserve">— (title row, then table starts row 4)</t>
  </si>
  <si>
    <t xml:space="preserve">TITLE ROW</t>
  </si>
  <si>
    <t xml:space="preserve">จัดการลิงค์ Chat Spaces</t>
  </si>
  <si>
    <t xml:space="preserve">Raceup Hub Project Assignment Matrix [title only]</t>
  </si>
  <si>
    <t xml:space="preserve">— (title row, mirror ของ Working &gt; Project Assign)</t>
  </si>
  <si>
    <t xml:space="preserve">Mirror ของ Project Assign จาก Working</t>
  </si>
  <si>
    <t xml:space="preserve">Raceup Hub Staff Directory [title only]</t>
  </si>
  <si>
    <t xml:space="preserve">No., ชื่อ, Level, Role, Email, Status, Name Lastname, Employee Code, Start Date, Department, Alias</t>
  </si>
  <si>
    <t xml:space="preserve">Mirror ของ Contact จาก Working + enrichment</t>
  </si>
  <si>
    <t xml:space="preserve">Date, Tag, Title, Author, Status</t>
  </si>
  <si>
    <t xml:space="preserve">ประกาศ in-app</t>
  </si>
  <si>
    <t xml:space="preserve">(blank), Event Name, Code, Expo Day, Race Day, Runner Target, Distance, Location, Event Catagory, FB, Banner Link, Logo Link, Registration Link</t>
  </si>
  <si>
    <t xml:space="preserve">OK (just 1 spurious blank col A)</t>
  </si>
  <si>
    <t xml:space="preserve">22 events 2026 — main event registry</t>
  </si>
  <si>
    <t xml:space="preserve">ข้อมูลงาน, ..., จำนวนนักวิ่ง, ..., เพศ, ..., กลุ่มอายุ, ..., ระยะทาง, ..., สัญชาติ [group headers row 1]</t>
  </si>
  <si>
    <t xml:space="preserve">Code, ชื่องาน, ปี, วันที่, สถานที่, ประเภท, Series, สมัครทั้งหมด, มาวิ่งจริง, Show Rate, ชาย, หญิง, ชาย %, U20, 20-29, 30-39, 40-49, 50-59, 60+, 5K, 10K, Half, Full, Thai, Foreign</t>
  </si>
  <si>
    <t xml:space="preserve">GROUP HEADERS</t>
  </si>
  <si>
    <t xml:space="preserve">สถิติย้อนหลังของแต่ละสนาม 47+ events</t>
  </si>
  <si>
    <t xml:space="preserve">(blank), Scenic Pranburi 26, PSMH26, date [per-event header row 1]</t>
  </si>
  <si>
    <t xml:space="preserve">No, CLIENTS, PACKAGE, CATEGORY, STATUS, PIC, Remark, Contact, Target, Earn, Deliverables, Last_updated</t>
  </si>
  <si>
    <t xml:space="preserve">PER-EVENT SECTIONS</t>
  </si>
  <si>
    <t xml:space="preserve">Sponsor ของแต่ละ event (sections in same tab)</t>
  </si>
  <si>
    <t xml:space="preserve">Working Sheet — Tab Inventory</t>
  </si>
  <si>
    <t xml:space="preserve">ID: 13t_phzkL3sbFV0vOSm_3nTqfkUjxhTxez0JqBWFykfI · 16 tabs / 819 rows</t>
  </si>
  <si>
    <t xml:space="preserve">Quick Fact</t>
  </si>
  <si>
    <t xml:space="preserve">(blank), Event Name, Code, Expo Day, Race Day, Runner Target, Venue</t>
  </si>
  <si>
    <t xml:space="preserve">Event registry (มี 22 + 5 ที่ Hub ไม่มี?)</t>
  </si>
  <si>
    <t xml:space="preserve">To Do Next Week [title only]</t>
  </si>
  <si>
    <t xml:space="preserve">No, Project, Todo, Status, Pic</t>
  </si>
  <si>
    <t xml:space="preserve">Manual todo list ของสัปดาห์</t>
  </si>
  <si>
    <t xml:space="preserve">(blank, 3 sections side-by-side)</t>
  </si>
  <si>
    <t xml:space="preserve">Office | Meeting | New Project (3 tables in 1 tab)</t>
  </si>
  <si>
    <t xml:space="preserve">MULTI-SECTION</t>
  </si>
  <si>
    <t xml:space="preserve">Manual followup tracking</t>
  </si>
  <si>
    <t xml:space="preserve">Coming</t>
  </si>
  <si>
    <t xml:space="preserve">Coming Project [title only]</t>
  </si>
  <si>
    <t xml:space="preserve">No, Client, Scope of Work, Pic, Date, Venue, Status</t>
  </si>
  <si>
    <t xml:space="preserve">New project pipeline</t>
  </si>
  <si>
    <t xml:space="preserve">Pacer Slot</t>
  </si>
  <si>
    <t xml:space="preserve">No, Event Name 2026, Date, Spa, Pacer 42, Pacer 21, Pacer 10, Sweeper, Plogging, Medical, Status</t>
  </si>
  <si>
    <t xml:space="preserve">OK (just blank row 2)</t>
  </si>
  <si>
    <t xml:space="preserve">Pacer assignment per event</t>
  </si>
  <si>
    <t xml:space="preserve">EVENT CALENDAR 2026 / 2027 [grid view]</t>
  </si>
  <si>
    <t xml:space="preserve">Monthly grid Jan-Dec × 2 years</t>
  </si>
  <si>
    <t xml:space="preserve">GRID</t>
  </si>
  <si>
    <t xml:space="preserve">Visual calendar (presentation only)</t>
  </si>
  <si>
    <t xml:space="preserve">Project Assign</t>
  </si>
  <si>
    <t xml:space="preserve">Project Assigned 2026 [title only]</t>
  </si>
  <si>
    <t xml:space="preserve">No., Project, Point, Event Date, Lead, CO1, CO2, Route, AE, PR, กราฟฟิค, Tech, ทีม Event, ทีม Race</t>
  </si>
  <si>
    <t xml:space="preserve">Project assignment master (rows 38)</t>
  </si>
  <si>
    <t xml:space="preserve">(blank), PR Timeline [title only]</t>
  </si>
  <si>
    <t xml:space="preserve">No, Project, Event Date, Kick Off PR, Register, Closed, Press Con, PR, กราฟิก, Regis Period (...)</t>
  </si>
  <si>
    <t xml:space="preserve">PR planning per event</t>
  </si>
  <si>
    <t xml:space="preserve">No., Project, หน่วยงาน, พื้นที่, Production, อาหาร, อาสาสมัคร, ตำรวจ, การแพทย์, กู้ภัย, กรรมการ/โด๊ป, Spon/owner</t>
  </si>
  <si>
    <t xml:space="preserve">Detail assignment per area per event</t>
  </si>
  <si>
    <t xml:space="preserve">จอง Supplier</t>
  </si>
  <si>
    <t xml:space="preserve">(blank), เต็นท์, เครื่องเสียง, ห้องน้ำตู้, รถห้องน้ำ [group headers]</t>
  </si>
  <si>
    <t xml:space="preserve">ลำดับ, งาน, สถานที่, Supplier, สถานะ, ... (groups by supplier category)</t>
  </si>
  <si>
    <t xml:space="preserve">Supplier booking per event</t>
  </si>
  <si>
    <t xml:space="preserve">(blank), Scenic Half Marathon Pranburi 2026, PSMH26 [per-event]</t>
  </si>
  <si>
    <t xml:space="preserve">No, CLIENTS, PACKAGE, CATEGORY, STATUS, PIC, Remark, Contact, Budget, Deliverables, Last_updated</t>
  </si>
  <si>
    <t xml:space="preserve">Sponsor master (sections per event)</t>
  </si>
  <si>
    <t xml:space="preserve">Event Sponsor</t>
  </si>
  <si>
    <t xml:space="preserve">(blank), Scenic Pranburi [per-event header]</t>
  </si>
  <si>
    <t xml:space="preserve">No, CLIENTS, PACKAGE, CATEGORY, STATUS, PIC, Remark</t>
  </si>
  <si>
    <t xml:space="preserve">DUPLICATE ของ Sponsor Update (subset)</t>
  </si>
  <si>
    <t xml:space="preserve">Sponsor</t>
  </si>
  <si>
    <t xml:space="preserve">Sponsorship Dashboard [title only]</t>
  </si>
  <si>
    <t xml:space="preserve">No., Event Name, Race, Date, T1 Brand, T2 Brand, T3 Brand, WIP, Pic, Target, Confirmed, TBC, T1, T2, T2</t>
  </si>
  <si>
    <t xml:space="preserve">Sponsorship dashboard (aggregated)</t>
  </si>
  <si>
    <t xml:space="preserve">Claude Cache</t>
  </si>
  <si>
    <t xml:space="preserve">⚠️ SHEET RESERVED FOR =CLAUDE() FUNCTIONS</t>
  </si>
  <si>
    <t xml:space="preserve">Key, Value, Expiration</t>
  </si>
  <si>
    <t xml:space="preserve">RESERVED</t>
  </si>
  <si>
    <t xml:space="preserve">Internal cache (DO NOT EDIT)</t>
  </si>
  <si>
    <t xml:space="preserve">Contact</t>
  </si>
  <si>
    <t xml:space="preserve">No., ชื่อ, Level, อิเมล์, เบอร์ติดต่อ, Alias, เบอร์ฉุกเฉิน</t>
  </si>
  <si>
    <t xml:space="preserve">Staff contact 22 คน (มี email + phone)</t>
  </si>
  <si>
    <t xml:space="preserve">Project Assign Backup 2026-05-22 1414</t>
  </si>
  <si>
    <t xml:space="preserve">Same as Project Assign (backup)</t>
  </si>
  <si>
    <t xml:space="preserve">BACKUP</t>
  </si>
  <si>
    <t xml:space="preserve">Backup ของ Project Assign — ลบได้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</si>
</sst>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1"/>
      <color theme="1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9D9D9"/>
        <bgColor rgb="FFCCCCCC"/>
      </patternFill>
    </fill>
    <fill>
      <patternFill patternType="solid">
        <fgColor rgb="FFC6EFCE"/>
        <bgColor rgb="FFD9D9D9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</row>
    <row r="8" customFormat="false" ht="15" hidden="false" customHeight="true" outlineLevel="0" collapsed="false">
      <c r="A8" s="4" t="s">
        <v>5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4" t="s">
        <v>6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15" hidden="false" customHeight="true" outlineLevel="0" collapsed="false">
      <c r="A17" s="5" t="s">
        <v>13</v>
      </c>
      <c r="B17" s="5"/>
      <c r="C17" s="5"/>
      <c r="D17" s="5"/>
      <c r="E17" s="5"/>
      <c r="F17" s="5"/>
    </row>
    <row r="18" customFormat="false" ht="15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4" t="s">
        <v>15</v>
      </c>
      <c r="B19" s="4"/>
      <c r="C19" s="4"/>
      <c r="D19" s="4"/>
      <c r="E19" s="4"/>
      <c r="F19" s="4"/>
    </row>
    <row r="22" customFormat="false" ht="15" hidden="false" customHeight="false" outlineLevel="0" collapsed="false">
      <c r="A22" s="6" t="s">
        <v>16</v>
      </c>
    </row>
    <row r="23" customFormat="false" ht="15" hidden="false" customHeight="false" outlineLevel="0" collapsed="false">
      <c r="A23" s="7" t="s">
        <v>17</v>
      </c>
      <c r="B23" s="7" t="s">
        <v>18</v>
      </c>
      <c r="C23" s="7" t="s">
        <v>19</v>
      </c>
      <c r="D23" s="7" t="s">
        <v>20</v>
      </c>
    </row>
    <row r="24" customFormat="false" ht="35.05" hidden="false" customHeight="false" outlineLevel="0" collapsed="false">
      <c r="A24" s="8" t="s">
        <v>21</v>
      </c>
      <c r="B24" s="8" t="n">
        <v>12</v>
      </c>
      <c r="C24" s="8" t="n">
        <v>16</v>
      </c>
      <c r="D24" s="8" t="s">
        <v>22</v>
      </c>
    </row>
    <row r="25" customFormat="false" ht="15" hidden="false" customHeight="false" outlineLevel="0" collapsed="false">
      <c r="A25" s="8" t="s">
        <v>23</v>
      </c>
      <c r="B25" s="8" t="n">
        <v>433</v>
      </c>
      <c r="C25" s="8" t="n">
        <v>819</v>
      </c>
      <c r="D25" s="8" t="s">
        <v>24</v>
      </c>
    </row>
    <row r="26" customFormat="false" ht="15" hidden="false" customHeight="false" outlineLevel="0" collapsed="false">
      <c r="A26" s="8" t="s">
        <v>25</v>
      </c>
      <c r="B26" s="8" t="n">
        <v>0</v>
      </c>
      <c r="C26" s="8" t="n">
        <v>1</v>
      </c>
      <c r="D26" s="8" t="s">
        <v>26</v>
      </c>
    </row>
    <row r="27" customFormat="false" ht="46.25" hidden="false" customHeight="false" outlineLevel="0" collapsed="false">
      <c r="A27" s="8" t="s">
        <v>27</v>
      </c>
      <c r="B27" s="8" t="s">
        <v>28</v>
      </c>
      <c r="C27" s="8" t="s">
        <v>29</v>
      </c>
      <c r="D27" s="8" t="s">
        <v>30</v>
      </c>
    </row>
    <row r="28" customFormat="false" ht="15" hidden="false" customHeight="false" outlineLevel="0" collapsed="false">
      <c r="A28" s="8" t="s">
        <v>31</v>
      </c>
      <c r="B28" s="8" t="n">
        <v>3</v>
      </c>
      <c r="C28" s="8" t="n">
        <v>0</v>
      </c>
      <c r="D28" s="8" t="s">
        <v>32</v>
      </c>
    </row>
  </sheetData>
  <mergeCells count="18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</row>
    <row r="5" customFormat="false" ht="60" hidden="false" customHeight="true" outlineLevel="0" collapsed="false">
      <c r="A5" s="8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47</v>
      </c>
      <c r="G5" s="9" t="s">
        <v>48</v>
      </c>
    </row>
    <row r="6" customFormat="false" ht="60" hidden="false" customHeight="tru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s">
        <v>53</v>
      </c>
      <c r="F6" s="8" t="s">
        <v>54</v>
      </c>
      <c r="G6" s="9" t="s">
        <v>48</v>
      </c>
    </row>
    <row r="7" customFormat="false" ht="60" hidden="false" customHeight="true" outlineLevel="0" collapsed="false">
      <c r="A7" s="8" t="s">
        <v>55</v>
      </c>
      <c r="B7" s="8" t="s">
        <v>56</v>
      </c>
      <c r="C7" s="8" t="s">
        <v>57</v>
      </c>
      <c r="D7" s="8" t="s">
        <v>58</v>
      </c>
      <c r="E7" s="8" t="s">
        <v>59</v>
      </c>
      <c r="F7" s="8" t="s">
        <v>60</v>
      </c>
      <c r="G7" s="10" t="s">
        <v>61</v>
      </c>
    </row>
    <row r="8" customFormat="false" ht="60" hidden="false" customHeight="true" outlineLevel="0" collapsed="false">
      <c r="A8" s="8" t="s">
        <v>62</v>
      </c>
      <c r="B8" s="8" t="s">
        <v>63</v>
      </c>
      <c r="C8" s="8" t="s">
        <v>64</v>
      </c>
      <c r="D8" s="8" t="s">
        <v>65</v>
      </c>
      <c r="E8" s="8" t="s">
        <v>66</v>
      </c>
      <c r="F8" s="8" t="s">
        <v>67</v>
      </c>
      <c r="G8" s="11" t="s">
        <v>68</v>
      </c>
    </row>
    <row r="9" customFormat="false" ht="60" hidden="false" customHeight="true" outlineLevel="0" collapsed="false">
      <c r="A9" s="8" t="s">
        <v>69</v>
      </c>
      <c r="B9" s="8" t="s">
        <v>70</v>
      </c>
      <c r="C9" s="8" t="s">
        <v>71</v>
      </c>
      <c r="D9" s="8" t="s">
        <v>72</v>
      </c>
      <c r="E9" s="8" t="s">
        <v>73</v>
      </c>
      <c r="F9" s="8" t="s">
        <v>74</v>
      </c>
      <c r="G9" s="11" t="s">
        <v>68</v>
      </c>
    </row>
    <row r="10" customFormat="false" ht="60" hidden="false" customHeight="true" outlineLevel="0" collapsed="false">
      <c r="A10" s="8" t="s">
        <v>75</v>
      </c>
      <c r="B10" s="8" t="s">
        <v>71</v>
      </c>
      <c r="C10" s="8" t="s">
        <v>76</v>
      </c>
      <c r="D10" s="8" t="s">
        <v>72</v>
      </c>
      <c r="E10" s="8" t="s">
        <v>77</v>
      </c>
      <c r="F10" s="8" t="s">
        <v>78</v>
      </c>
      <c r="G10" s="8" t="s">
        <v>79</v>
      </c>
    </row>
    <row r="11" customFormat="false" ht="60" hidden="false" customHeight="true" outlineLevel="0" collapsed="false">
      <c r="A11" s="8" t="s">
        <v>80</v>
      </c>
      <c r="B11" s="8" t="s">
        <v>71</v>
      </c>
      <c r="C11" s="8" t="s">
        <v>81</v>
      </c>
      <c r="D11" s="8" t="s">
        <v>72</v>
      </c>
      <c r="E11" s="8" t="s">
        <v>82</v>
      </c>
      <c r="F11" s="8" t="s">
        <v>83</v>
      </c>
      <c r="G11" s="8" t="s">
        <v>79</v>
      </c>
    </row>
    <row r="12" customFormat="false" ht="60" hidden="false" customHeight="true" outlineLevel="0" collapsed="false">
      <c r="A12" s="8" t="s">
        <v>84</v>
      </c>
      <c r="B12" s="8" t="s">
        <v>71</v>
      </c>
      <c r="C12" s="8" t="s">
        <v>85</v>
      </c>
      <c r="D12" s="8" t="s">
        <v>72</v>
      </c>
      <c r="E12" s="8" t="s">
        <v>86</v>
      </c>
      <c r="F12" s="8" t="s">
        <v>87</v>
      </c>
      <c r="G12" s="8" t="s">
        <v>79</v>
      </c>
    </row>
    <row r="13" customFormat="false" ht="60" hidden="false" customHeight="true" outlineLevel="0" collapsed="false">
      <c r="A13" s="8" t="s">
        <v>88</v>
      </c>
      <c r="B13" s="8" t="s">
        <v>71</v>
      </c>
      <c r="C13" s="8" t="s">
        <v>89</v>
      </c>
      <c r="D13" s="8" t="s">
        <v>72</v>
      </c>
      <c r="E13" s="8" t="s">
        <v>90</v>
      </c>
      <c r="F13" s="8" t="s">
        <v>91</v>
      </c>
      <c r="G13" s="8" t="s">
        <v>79</v>
      </c>
    </row>
    <row r="14" customFormat="false" ht="60" hidden="false" customHeight="true" outlineLevel="0" collapsed="false">
      <c r="A14" s="8" t="s">
        <v>92</v>
      </c>
      <c r="B14" s="8" t="s">
        <v>71</v>
      </c>
      <c r="C14" s="8" t="s">
        <v>93</v>
      </c>
      <c r="D14" s="8" t="s">
        <v>72</v>
      </c>
      <c r="E14" s="8" t="s">
        <v>82</v>
      </c>
      <c r="F14" s="8" t="s">
        <v>94</v>
      </c>
      <c r="G14" s="8" t="s">
        <v>79</v>
      </c>
    </row>
    <row r="15" customFormat="false" ht="60" hidden="false" customHeight="true" outlineLevel="0" collapsed="false">
      <c r="A15" s="8" t="s">
        <v>95</v>
      </c>
      <c r="B15" s="8" t="s">
        <v>71</v>
      </c>
      <c r="C15" s="8" t="s">
        <v>96</v>
      </c>
      <c r="D15" s="8" t="s">
        <v>72</v>
      </c>
      <c r="E15" s="8" t="s">
        <v>97</v>
      </c>
      <c r="F15" s="8" t="s">
        <v>98</v>
      </c>
      <c r="G15" s="12" t="s">
        <v>99</v>
      </c>
    </row>
    <row r="16" customFormat="false" ht="60" hidden="false" customHeight="true" outlineLevel="0" collapsed="false">
      <c r="A16" s="8" t="s">
        <v>100</v>
      </c>
      <c r="B16" s="8" t="s">
        <v>71</v>
      </c>
      <c r="C16" s="8" t="s">
        <v>101</v>
      </c>
      <c r="D16" s="8" t="s">
        <v>72</v>
      </c>
      <c r="E16" s="8" t="s">
        <v>102</v>
      </c>
      <c r="F16" s="8" t="s">
        <v>103</v>
      </c>
      <c r="G16" s="12" t="s">
        <v>99</v>
      </c>
    </row>
    <row r="17" customFormat="false" ht="60" hidden="false" customHeight="true" outlineLevel="0" collapsed="false">
      <c r="A17" s="8" t="s">
        <v>104</v>
      </c>
      <c r="B17" s="8" t="s">
        <v>71</v>
      </c>
      <c r="C17" s="8" t="s">
        <v>105</v>
      </c>
      <c r="D17" s="8" t="s">
        <v>72</v>
      </c>
      <c r="E17" s="8" t="s">
        <v>106</v>
      </c>
      <c r="F17" s="8" t="s">
        <v>107</v>
      </c>
      <c r="G17" s="12" t="s">
        <v>99</v>
      </c>
    </row>
    <row r="18" customFormat="false" ht="60" hidden="false" customHeight="true" outlineLevel="0" collapsed="false">
      <c r="A18" s="8" t="s">
        <v>108</v>
      </c>
      <c r="B18" s="8" t="s">
        <v>71</v>
      </c>
      <c r="C18" s="8" t="s">
        <v>109</v>
      </c>
      <c r="D18" s="8" t="s">
        <v>72</v>
      </c>
      <c r="E18" s="8" t="s">
        <v>110</v>
      </c>
      <c r="F18" s="8" t="s">
        <v>111</v>
      </c>
      <c r="G18" s="12" t="s">
        <v>99</v>
      </c>
    </row>
    <row r="19" customFormat="false" ht="60" hidden="false" customHeight="true" outlineLevel="0" collapsed="false">
      <c r="A19" s="8" t="s">
        <v>112</v>
      </c>
      <c r="B19" s="8" t="s">
        <v>113</v>
      </c>
      <c r="C19" s="8" t="s">
        <v>71</v>
      </c>
      <c r="D19" s="8" t="s">
        <v>114</v>
      </c>
      <c r="E19" s="8" t="s">
        <v>115</v>
      </c>
      <c r="F19" s="8" t="s">
        <v>116</v>
      </c>
      <c r="G19" s="13" t="s">
        <v>117</v>
      </c>
    </row>
    <row r="20" customFormat="false" ht="60" hidden="false" customHeight="true" outlineLevel="0" collapsed="false">
      <c r="A20" s="8" t="s">
        <v>118</v>
      </c>
      <c r="B20" s="8" t="s">
        <v>119</v>
      </c>
      <c r="C20" s="8" t="s">
        <v>71</v>
      </c>
      <c r="D20" s="8" t="s">
        <v>114</v>
      </c>
      <c r="E20" s="8" t="s">
        <v>120</v>
      </c>
      <c r="F20" s="8" t="s">
        <v>116</v>
      </c>
      <c r="G20" s="13" t="s">
        <v>117</v>
      </c>
    </row>
    <row r="21" customFormat="false" ht="60" hidden="false" customHeight="true" outlineLevel="0" collapsed="false">
      <c r="A21" s="8" t="s">
        <v>121</v>
      </c>
      <c r="B21" s="8" t="s">
        <v>122</v>
      </c>
      <c r="C21" s="8" t="s">
        <v>71</v>
      </c>
      <c r="D21" s="8" t="s">
        <v>123</v>
      </c>
      <c r="E21" s="8" t="s">
        <v>124</v>
      </c>
      <c r="F21" s="8" t="s">
        <v>116</v>
      </c>
      <c r="G21" s="13" t="s">
        <v>117</v>
      </c>
    </row>
    <row r="22" customFormat="false" ht="60" hidden="false" customHeight="true" outlineLevel="0" collapsed="false">
      <c r="A22" s="8" t="s">
        <v>125</v>
      </c>
      <c r="B22" s="8" t="s">
        <v>126</v>
      </c>
      <c r="C22" s="8" t="s">
        <v>71</v>
      </c>
      <c r="D22" s="8" t="s">
        <v>127</v>
      </c>
      <c r="E22" s="8" t="s">
        <v>128</v>
      </c>
      <c r="F22" s="8" t="s">
        <v>116</v>
      </c>
      <c r="G22" s="13" t="s">
        <v>117</v>
      </c>
    </row>
    <row r="23" customFormat="false" ht="60" hidden="false" customHeight="true" outlineLevel="0" collapsed="false">
      <c r="A23" s="8" t="s">
        <v>129</v>
      </c>
      <c r="B23" s="8" t="s">
        <v>130</v>
      </c>
      <c r="C23" s="8" t="s">
        <v>71</v>
      </c>
      <c r="D23" s="8" t="s">
        <v>127</v>
      </c>
      <c r="E23" s="8" t="s">
        <v>131</v>
      </c>
      <c r="F23" s="8" t="s">
        <v>116</v>
      </c>
      <c r="G23" s="13" t="s">
        <v>117</v>
      </c>
    </row>
    <row r="24" customFormat="false" ht="60" hidden="false" customHeight="true" outlineLevel="0" collapsed="false">
      <c r="A24" s="8" t="s">
        <v>132</v>
      </c>
      <c r="B24" s="8" t="s">
        <v>133</v>
      </c>
      <c r="C24" s="8" t="s">
        <v>71</v>
      </c>
      <c r="D24" s="8" t="s">
        <v>127</v>
      </c>
      <c r="E24" s="8" t="s">
        <v>134</v>
      </c>
      <c r="F24" s="8" t="s">
        <v>116</v>
      </c>
      <c r="G24" s="13" t="s">
        <v>117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135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136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137</v>
      </c>
      <c r="B4" s="7" t="s">
        <v>138</v>
      </c>
      <c r="C4" s="7" t="s">
        <v>125</v>
      </c>
      <c r="D4" s="7" t="s">
        <v>139</v>
      </c>
      <c r="E4" s="7" t="s">
        <v>140</v>
      </c>
      <c r="F4" s="7" t="s">
        <v>141</v>
      </c>
    </row>
    <row r="5" customFormat="false" ht="69.75" hidden="false" customHeight="true" outlineLevel="0" collapsed="false">
      <c r="A5" s="8" t="s">
        <v>142</v>
      </c>
      <c r="B5" s="8" t="s">
        <v>143</v>
      </c>
      <c r="C5" s="8" t="s">
        <v>144</v>
      </c>
      <c r="D5" s="8" t="s">
        <v>145</v>
      </c>
      <c r="E5" s="8" t="s">
        <v>146</v>
      </c>
      <c r="F5" s="11" t="s">
        <v>147</v>
      </c>
    </row>
    <row r="6" customFormat="false" ht="69.75" hidden="false" customHeight="true" outlineLevel="0" collapsed="false">
      <c r="A6" s="8" t="s">
        <v>49</v>
      </c>
      <c r="B6" s="8" t="s">
        <v>148</v>
      </c>
      <c r="C6" s="8" t="s">
        <v>149</v>
      </c>
      <c r="D6" s="8" t="s">
        <v>150</v>
      </c>
      <c r="E6" s="8" t="s">
        <v>151</v>
      </c>
      <c r="F6" s="11" t="s">
        <v>147</v>
      </c>
    </row>
    <row r="7" customFormat="false" ht="69.75" hidden="false" customHeight="true" outlineLevel="0" collapsed="false">
      <c r="A7" s="8" t="s">
        <v>152</v>
      </c>
      <c r="B7" s="8" t="s">
        <v>153</v>
      </c>
      <c r="C7" s="8" t="s">
        <v>154</v>
      </c>
      <c r="D7" s="8" t="s">
        <v>55</v>
      </c>
      <c r="E7" s="8" t="s">
        <v>155</v>
      </c>
      <c r="F7" s="11" t="s">
        <v>147</v>
      </c>
    </row>
    <row r="8" customFormat="false" ht="69.75" hidden="false" customHeight="true" outlineLevel="0" collapsed="false">
      <c r="A8" s="8" t="s">
        <v>62</v>
      </c>
      <c r="B8" s="8" t="s">
        <v>156</v>
      </c>
      <c r="C8" s="8" t="s">
        <v>157</v>
      </c>
      <c r="D8" s="8" t="s">
        <v>158</v>
      </c>
      <c r="E8" s="8" t="s">
        <v>159</v>
      </c>
      <c r="F8" s="11" t="s">
        <v>147</v>
      </c>
    </row>
    <row r="9" customFormat="false" ht="69.75" hidden="false" customHeight="true" outlineLevel="0" collapsed="false">
      <c r="A9" s="8" t="s">
        <v>75</v>
      </c>
      <c r="B9" s="8" t="s">
        <v>160</v>
      </c>
      <c r="C9" s="8" t="s">
        <v>161</v>
      </c>
      <c r="D9" s="8" t="s">
        <v>162</v>
      </c>
      <c r="E9" s="8" t="s">
        <v>163</v>
      </c>
      <c r="F9" s="11" t="s">
        <v>147</v>
      </c>
    </row>
    <row r="10" customFormat="false" ht="69.75" hidden="false" customHeight="true" outlineLevel="0" collapsed="false">
      <c r="A10" s="8" t="s">
        <v>80</v>
      </c>
      <c r="B10" s="8" t="s">
        <v>164</v>
      </c>
      <c r="C10" s="8" t="s">
        <v>165</v>
      </c>
      <c r="D10" s="8" t="s">
        <v>166</v>
      </c>
      <c r="E10" s="8" t="s">
        <v>167</v>
      </c>
      <c r="F10" s="11" t="s">
        <v>147</v>
      </c>
    </row>
    <row r="11" customFormat="false" ht="69.75" hidden="false" customHeight="true" outlineLevel="0" collapsed="false">
      <c r="A11" s="8" t="s">
        <v>168</v>
      </c>
      <c r="B11" s="8" t="s">
        <v>169</v>
      </c>
      <c r="C11" s="8" t="s">
        <v>170</v>
      </c>
      <c r="D11" s="8" t="s">
        <v>171</v>
      </c>
      <c r="E11" s="8" t="s">
        <v>172</v>
      </c>
      <c r="F11" s="11" t="s">
        <v>147</v>
      </c>
    </row>
    <row r="12" customFormat="false" ht="69.75" hidden="false" customHeight="true" outlineLevel="0" collapsed="false">
      <c r="A12" s="8" t="s">
        <v>173</v>
      </c>
      <c r="B12" s="8" t="s">
        <v>174</v>
      </c>
      <c r="C12" s="8" t="s">
        <v>175</v>
      </c>
      <c r="D12" s="8" t="s">
        <v>176</v>
      </c>
      <c r="E12" s="8" t="s">
        <v>177</v>
      </c>
      <c r="F12" s="11" t="s">
        <v>147</v>
      </c>
    </row>
    <row r="13" customFormat="false" ht="69.75" hidden="false" customHeight="true" outlineLevel="0" collapsed="false">
      <c r="A13" s="8" t="s">
        <v>178</v>
      </c>
      <c r="B13" s="8" t="s">
        <v>179</v>
      </c>
      <c r="C13" s="8" t="s">
        <v>180</v>
      </c>
      <c r="D13" s="8" t="s">
        <v>181</v>
      </c>
      <c r="E13" s="8" t="s">
        <v>182</v>
      </c>
      <c r="F13" s="11" t="s">
        <v>147</v>
      </c>
    </row>
    <row r="14" customFormat="false" ht="69.75" hidden="false" customHeight="true" outlineLevel="0" collapsed="false">
      <c r="A14" s="8" t="s">
        <v>69</v>
      </c>
      <c r="B14" s="8" t="s">
        <v>183</v>
      </c>
      <c r="C14" s="8" t="s">
        <v>184</v>
      </c>
      <c r="D14" s="8" t="s">
        <v>69</v>
      </c>
      <c r="E14" s="8" t="s">
        <v>185</v>
      </c>
      <c r="F14" s="11" t="s">
        <v>147</v>
      </c>
    </row>
    <row r="15" customFormat="false" ht="69.75" hidden="false" customHeight="true" outlineLevel="0" collapsed="false">
      <c r="A15" s="8" t="s">
        <v>129</v>
      </c>
      <c r="B15" s="8" t="s">
        <v>186</v>
      </c>
      <c r="C15" s="8" t="s">
        <v>187</v>
      </c>
      <c r="D15" s="8" t="s">
        <v>129</v>
      </c>
      <c r="E15" s="8" t="s">
        <v>188</v>
      </c>
      <c r="F15" s="13" t="s">
        <v>117</v>
      </c>
    </row>
    <row r="16" customFormat="false" ht="69.75" hidden="false" customHeight="true" outlineLevel="0" collapsed="false">
      <c r="A16" s="8" t="s">
        <v>125</v>
      </c>
      <c r="B16" s="8" t="s">
        <v>189</v>
      </c>
      <c r="C16" s="8" t="s">
        <v>190</v>
      </c>
      <c r="D16" s="8" t="s">
        <v>125</v>
      </c>
      <c r="E16" s="8" t="s">
        <v>188</v>
      </c>
      <c r="F16" s="13" t="s">
        <v>117</v>
      </c>
    </row>
    <row r="17" customFormat="false" ht="69.75" hidden="false" customHeight="true" outlineLevel="0" collapsed="false">
      <c r="A17" s="8" t="s">
        <v>191</v>
      </c>
      <c r="B17" s="8" t="s">
        <v>192</v>
      </c>
      <c r="C17" s="8" t="s">
        <v>193</v>
      </c>
      <c r="D17" s="8" t="s">
        <v>194</v>
      </c>
      <c r="E17" s="8" t="s">
        <v>195</v>
      </c>
      <c r="F17" s="11" t="s">
        <v>147</v>
      </c>
    </row>
    <row r="18" customFormat="false" ht="69.75" hidden="false" customHeight="true" outlineLevel="0" collapsed="false">
      <c r="A18" s="8" t="s">
        <v>196</v>
      </c>
      <c r="B18" s="8" t="s">
        <v>197</v>
      </c>
      <c r="C18" s="8" t="s">
        <v>198</v>
      </c>
      <c r="D18" s="8" t="s">
        <v>199</v>
      </c>
      <c r="E18" s="8" t="s">
        <v>200</v>
      </c>
      <c r="F18" s="12" t="s">
        <v>201</v>
      </c>
    </row>
    <row r="19" customFormat="false" ht="69.75" hidden="false" customHeight="true" outlineLevel="0" collapsed="false">
      <c r="A19" s="8" t="s">
        <v>202</v>
      </c>
      <c r="B19" s="8" t="s">
        <v>203</v>
      </c>
      <c r="C19" s="8" t="s">
        <v>198</v>
      </c>
      <c r="D19" s="8" t="s">
        <v>204</v>
      </c>
      <c r="E19" s="8" t="s">
        <v>200</v>
      </c>
      <c r="F19" s="12" t="s">
        <v>201</v>
      </c>
    </row>
    <row r="20" customFormat="false" ht="69.75" hidden="false" customHeight="true" outlineLevel="0" collapsed="false">
      <c r="A20" s="8" t="s">
        <v>205</v>
      </c>
      <c r="B20" s="8" t="s">
        <v>206</v>
      </c>
      <c r="C20" s="8" t="s">
        <v>207</v>
      </c>
      <c r="D20" s="8" t="s">
        <v>112</v>
      </c>
      <c r="E20" s="8" t="s">
        <v>188</v>
      </c>
      <c r="F20" s="13" t="s">
        <v>117</v>
      </c>
    </row>
    <row r="21" customFormat="false" ht="69.75" hidden="false" customHeight="true" outlineLevel="0" collapsed="false">
      <c r="A21" s="8" t="s">
        <v>208</v>
      </c>
      <c r="B21" s="8" t="s">
        <v>209</v>
      </c>
      <c r="C21" s="8" t="s">
        <v>210</v>
      </c>
      <c r="D21" s="8" t="s">
        <v>118</v>
      </c>
      <c r="E21" s="8" t="s">
        <v>188</v>
      </c>
      <c r="F21" s="13" t="s">
        <v>117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211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213</v>
      </c>
      <c r="B4" s="7" t="s">
        <v>214</v>
      </c>
      <c r="C4" s="7" t="s">
        <v>215</v>
      </c>
      <c r="D4" s="7" t="s">
        <v>216</v>
      </c>
      <c r="E4" s="7" t="s">
        <v>217</v>
      </c>
      <c r="F4" s="7" t="s">
        <v>218</v>
      </c>
    </row>
    <row r="5" customFormat="false" ht="34.5" hidden="false" customHeight="true" outlineLevel="0" collapsed="false">
      <c r="A5" s="14" t="s">
        <v>219</v>
      </c>
      <c r="B5" s="8" t="s">
        <v>220</v>
      </c>
      <c r="C5" s="8" t="s">
        <v>221</v>
      </c>
      <c r="D5" s="8" t="s">
        <v>222</v>
      </c>
      <c r="E5" s="8" t="s">
        <v>223</v>
      </c>
      <c r="F5" s="8" t="s">
        <v>224</v>
      </c>
    </row>
    <row r="6" customFormat="false" ht="34.5" hidden="false" customHeight="true" outlineLevel="0" collapsed="false">
      <c r="A6" s="8"/>
      <c r="B6" s="8" t="s">
        <v>225</v>
      </c>
      <c r="C6" s="8" t="s">
        <v>226</v>
      </c>
      <c r="D6" s="8" t="s">
        <v>226</v>
      </c>
      <c r="E6" s="8" t="s">
        <v>226</v>
      </c>
      <c r="F6" s="8" t="s">
        <v>224</v>
      </c>
    </row>
    <row r="7" customFormat="false" ht="34.5" hidden="false" customHeight="true" outlineLevel="0" collapsed="false">
      <c r="A7" s="14" t="s">
        <v>227</v>
      </c>
      <c r="B7" s="8" t="s">
        <v>228</v>
      </c>
      <c r="C7" s="8" t="s">
        <v>18</v>
      </c>
      <c r="D7" s="8" t="s">
        <v>229</v>
      </c>
      <c r="E7" s="8" t="s">
        <v>230</v>
      </c>
      <c r="F7" s="8" t="s">
        <v>224</v>
      </c>
    </row>
    <row r="8" customFormat="false" ht="34.5" hidden="false" customHeight="true" outlineLevel="0" collapsed="false">
      <c r="A8" s="8"/>
      <c r="B8" s="8" t="s">
        <v>231</v>
      </c>
      <c r="C8" s="8" t="s">
        <v>18</v>
      </c>
      <c r="D8" s="8" t="s">
        <v>222</v>
      </c>
      <c r="E8" s="8" t="s">
        <v>223</v>
      </c>
      <c r="F8" s="8" t="s">
        <v>224</v>
      </c>
    </row>
    <row r="9" customFormat="false" ht="34.5" hidden="false" customHeight="true" outlineLevel="0" collapsed="false">
      <c r="A9" s="8"/>
      <c r="B9" s="8" t="s">
        <v>232</v>
      </c>
      <c r="C9" s="8" t="s">
        <v>233</v>
      </c>
      <c r="D9" s="8" t="s">
        <v>234</v>
      </c>
      <c r="E9" s="8" t="s">
        <v>226</v>
      </c>
      <c r="F9" s="8" t="s">
        <v>224</v>
      </c>
    </row>
    <row r="10" customFormat="false" ht="34.5" hidden="false" customHeight="true" outlineLevel="0" collapsed="false">
      <c r="A10" s="14" t="s">
        <v>235</v>
      </c>
      <c r="B10" s="8" t="s">
        <v>236</v>
      </c>
      <c r="C10" s="8" t="s">
        <v>18</v>
      </c>
      <c r="D10" s="8" t="s">
        <v>222</v>
      </c>
      <c r="E10" s="8" t="s">
        <v>223</v>
      </c>
      <c r="F10" s="8" t="s">
        <v>224</v>
      </c>
    </row>
    <row r="11" customFormat="false" ht="34.5" hidden="false" customHeight="true" outlineLevel="0" collapsed="false">
      <c r="A11" s="8"/>
      <c r="B11" s="8" t="s">
        <v>237</v>
      </c>
      <c r="C11" s="8" t="s">
        <v>18</v>
      </c>
      <c r="D11" s="8" t="s">
        <v>238</v>
      </c>
      <c r="E11" s="8" t="s">
        <v>223</v>
      </c>
      <c r="F11" s="8" t="s">
        <v>224</v>
      </c>
    </row>
    <row r="12" customFormat="false" ht="34.5" hidden="false" customHeight="true" outlineLevel="0" collapsed="false">
      <c r="A12" s="8"/>
      <c r="B12" s="8" t="s">
        <v>239</v>
      </c>
      <c r="C12" s="8" t="s">
        <v>18</v>
      </c>
      <c r="D12" s="8" t="s">
        <v>240</v>
      </c>
      <c r="E12" s="8" t="s">
        <v>241</v>
      </c>
      <c r="F12" s="8" t="s">
        <v>224</v>
      </c>
    </row>
    <row r="13" customFormat="false" ht="34.5" hidden="false" customHeight="true" outlineLevel="0" collapsed="false">
      <c r="A13" s="14" t="s">
        <v>242</v>
      </c>
      <c r="B13" s="8" t="s">
        <v>243</v>
      </c>
      <c r="C13" s="8" t="s">
        <v>18</v>
      </c>
      <c r="D13" s="8" t="s">
        <v>244</v>
      </c>
      <c r="E13" s="8" t="s">
        <v>245</v>
      </c>
      <c r="F13" s="8" t="s">
        <v>246</v>
      </c>
    </row>
    <row r="14" customFormat="false" ht="34.5" hidden="false" customHeight="true" outlineLevel="0" collapsed="false">
      <c r="A14" s="8"/>
      <c r="B14" s="8" t="s">
        <v>247</v>
      </c>
      <c r="C14" s="8" t="s">
        <v>248</v>
      </c>
      <c r="D14" s="8" t="s">
        <v>249</v>
      </c>
      <c r="E14" s="8" t="s">
        <v>223</v>
      </c>
      <c r="F14" s="8" t="s">
        <v>250</v>
      </c>
    </row>
    <row r="15" customFormat="false" ht="34.5" hidden="false" customHeight="true" outlineLevel="0" collapsed="false">
      <c r="A15" s="14" t="s">
        <v>251</v>
      </c>
      <c r="B15" s="8" t="s">
        <v>252</v>
      </c>
      <c r="C15" s="8" t="s">
        <v>19</v>
      </c>
      <c r="D15" s="8" t="s">
        <v>244</v>
      </c>
      <c r="E15" s="8" t="s">
        <v>253</v>
      </c>
      <c r="F15" s="8" t="s">
        <v>254</v>
      </c>
    </row>
    <row r="16" customFormat="false" ht="34.5" hidden="false" customHeight="true" outlineLevel="0" collapsed="false">
      <c r="A16" s="8"/>
      <c r="B16" s="8" t="s">
        <v>255</v>
      </c>
      <c r="C16" s="8" t="s">
        <v>256</v>
      </c>
      <c r="D16" s="8" t="s">
        <v>222</v>
      </c>
      <c r="E16" s="8" t="s">
        <v>226</v>
      </c>
      <c r="F16" s="8" t="s">
        <v>224</v>
      </c>
    </row>
    <row r="17" customFormat="false" ht="34.5" hidden="false" customHeight="true" outlineLevel="0" collapsed="false">
      <c r="A17" s="8"/>
      <c r="B17" s="8" t="s">
        <v>257</v>
      </c>
      <c r="C17" s="8" t="s">
        <v>258</v>
      </c>
      <c r="D17" s="8" t="s">
        <v>222</v>
      </c>
      <c r="E17" s="8" t="s">
        <v>259</v>
      </c>
      <c r="F17" s="8" t="s">
        <v>260</v>
      </c>
    </row>
    <row r="18" customFormat="false" ht="34.5" hidden="false" customHeight="true" outlineLevel="0" collapsed="false">
      <c r="A18" s="14" t="s">
        <v>261</v>
      </c>
      <c r="B18" s="8" t="s">
        <v>262</v>
      </c>
      <c r="C18" s="8" t="s">
        <v>221</v>
      </c>
      <c r="D18" s="8" t="s">
        <v>263</v>
      </c>
      <c r="E18" s="8" t="s">
        <v>253</v>
      </c>
      <c r="F18" s="8" t="s">
        <v>264</v>
      </c>
    </row>
    <row r="19" customFormat="false" ht="34.5" hidden="false" customHeight="true" outlineLevel="0" collapsed="false">
      <c r="A19" s="8"/>
      <c r="B19" s="8" t="s">
        <v>265</v>
      </c>
      <c r="C19" s="8" t="s">
        <v>18</v>
      </c>
      <c r="D19" s="8" t="s">
        <v>266</v>
      </c>
      <c r="E19" s="8" t="s">
        <v>267</v>
      </c>
      <c r="F19" s="8" t="s">
        <v>264</v>
      </c>
    </row>
    <row r="20" customFormat="false" ht="34.5" hidden="false" customHeight="true" outlineLevel="0" collapsed="false">
      <c r="A20" s="15" t="s">
        <v>268</v>
      </c>
      <c r="B20" s="8" t="s">
        <v>269</v>
      </c>
      <c r="C20" s="8" t="s">
        <v>233</v>
      </c>
      <c r="D20" s="8" t="s">
        <v>240</v>
      </c>
      <c r="E20" s="8" t="s">
        <v>226</v>
      </c>
      <c r="F20" s="8" t="s">
        <v>224</v>
      </c>
    </row>
    <row r="21" customFormat="false" ht="34.5" hidden="false" customHeight="true" outlineLevel="0" collapsed="false">
      <c r="A21" s="8"/>
      <c r="B21" s="8" t="s">
        <v>270</v>
      </c>
      <c r="C21" s="8" t="s">
        <v>233</v>
      </c>
      <c r="D21" s="8" t="s">
        <v>222</v>
      </c>
      <c r="E21" s="8" t="s">
        <v>226</v>
      </c>
      <c r="F21" s="8" t="s">
        <v>224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17.35" hidden="false" customHeight="false" outlineLevel="0" collapsed="false">
      <c r="A1" s="1" t="s">
        <v>271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272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7" t="s">
        <v>273</v>
      </c>
      <c r="B4" s="7" t="s">
        <v>274</v>
      </c>
      <c r="C4" s="7" t="s">
        <v>275</v>
      </c>
      <c r="D4" s="7" t="s">
        <v>276</v>
      </c>
      <c r="E4" s="7" t="s">
        <v>277</v>
      </c>
      <c r="F4" s="7" t="s">
        <v>278</v>
      </c>
      <c r="G4" s="7" t="s">
        <v>279</v>
      </c>
      <c r="H4" s="7" t="s">
        <v>280</v>
      </c>
    </row>
    <row r="5" customFormat="false" ht="60" hidden="false" customHeight="true" outlineLevel="0" collapsed="false">
      <c r="A5" s="8" t="s">
        <v>199</v>
      </c>
      <c r="B5" s="8" t="s">
        <v>281</v>
      </c>
      <c r="C5" s="8" t="s">
        <v>282</v>
      </c>
      <c r="D5" s="8" t="n">
        <v>30</v>
      </c>
      <c r="E5" s="8" t="n">
        <v>14</v>
      </c>
      <c r="F5" s="16" t="b">
        <f aca="false">FALSE()</f>
        <v>0</v>
      </c>
      <c r="G5" s="9" t="s">
        <v>283</v>
      </c>
      <c r="H5" s="8" t="s">
        <v>284</v>
      </c>
    </row>
    <row r="6" customFormat="false" ht="60" hidden="false" customHeight="true" outlineLevel="0" collapsed="false">
      <c r="A6" s="8" t="s">
        <v>118</v>
      </c>
      <c r="B6" s="8" t="s">
        <v>285</v>
      </c>
      <c r="C6" s="8" t="s">
        <v>117</v>
      </c>
      <c r="D6" s="8" t="n">
        <v>1</v>
      </c>
      <c r="E6" s="8" t="n">
        <v>7</v>
      </c>
      <c r="F6" s="16" t="b">
        <f aca="false">FALSE()</f>
        <v>0</v>
      </c>
      <c r="G6" s="13" t="s">
        <v>117</v>
      </c>
      <c r="H6" s="8" t="s">
        <v>286</v>
      </c>
    </row>
    <row r="7" customFormat="false" ht="60" hidden="false" customHeight="true" outlineLevel="0" collapsed="false">
      <c r="A7" s="8" t="s">
        <v>112</v>
      </c>
      <c r="B7" s="8" t="s">
        <v>287</v>
      </c>
      <c r="C7" s="8" t="s">
        <v>117</v>
      </c>
      <c r="D7" s="8" t="n">
        <v>1</v>
      </c>
      <c r="E7" s="8" t="n">
        <v>6</v>
      </c>
      <c r="F7" s="16" t="b">
        <f aca="false">FALSE()</f>
        <v>0</v>
      </c>
      <c r="G7" s="13" t="s">
        <v>117</v>
      </c>
      <c r="H7" s="8" t="s">
        <v>288</v>
      </c>
    </row>
    <row r="8" customFormat="false" ht="60" hidden="false" customHeight="true" outlineLevel="0" collapsed="false">
      <c r="A8" s="8" t="s">
        <v>194</v>
      </c>
      <c r="B8" s="8" t="s">
        <v>289</v>
      </c>
      <c r="C8" s="8" t="s">
        <v>290</v>
      </c>
      <c r="D8" s="8" t="n">
        <v>14</v>
      </c>
      <c r="E8" s="8" t="n">
        <v>2</v>
      </c>
      <c r="F8" s="16" t="b">
        <f aca="false">FALSE()</f>
        <v>0</v>
      </c>
      <c r="G8" s="11" t="s">
        <v>291</v>
      </c>
      <c r="H8" s="8" t="s">
        <v>292</v>
      </c>
    </row>
    <row r="9" customFormat="false" ht="60" hidden="false" customHeight="true" outlineLevel="0" collapsed="false">
      <c r="A9" s="8" t="s">
        <v>125</v>
      </c>
      <c r="B9" s="8" t="s">
        <v>293</v>
      </c>
      <c r="C9" s="8" t="s">
        <v>117</v>
      </c>
      <c r="D9" s="8" t="n">
        <v>2</v>
      </c>
      <c r="E9" s="8" t="n">
        <v>4</v>
      </c>
      <c r="F9" s="16" t="b">
        <f aca="false">FALSE()</f>
        <v>0</v>
      </c>
      <c r="G9" s="13" t="s">
        <v>117</v>
      </c>
      <c r="H9" s="8" t="s">
        <v>294</v>
      </c>
    </row>
    <row r="10" customFormat="false" ht="60" hidden="false" customHeight="true" outlineLevel="0" collapsed="false">
      <c r="A10" s="8" t="s">
        <v>204</v>
      </c>
      <c r="B10" s="8" t="s">
        <v>295</v>
      </c>
      <c r="C10" s="8" t="s">
        <v>296</v>
      </c>
      <c r="D10" s="8" t="n">
        <v>47</v>
      </c>
      <c r="E10" s="8" t="n">
        <v>7</v>
      </c>
      <c r="F10" s="16" t="b">
        <f aca="false">FALSE()</f>
        <v>0</v>
      </c>
      <c r="G10" s="9" t="s">
        <v>297</v>
      </c>
      <c r="H10" s="8" t="s">
        <v>298</v>
      </c>
    </row>
    <row r="11" customFormat="false" ht="60" hidden="false" customHeight="true" outlineLevel="0" collapsed="false">
      <c r="A11" s="8" t="s">
        <v>55</v>
      </c>
      <c r="B11" s="8" t="s">
        <v>299</v>
      </c>
      <c r="C11" s="8" t="s">
        <v>300</v>
      </c>
      <c r="D11" s="8" t="n">
        <v>32</v>
      </c>
      <c r="E11" s="8" t="n">
        <v>18</v>
      </c>
      <c r="F11" s="16" t="b">
        <f aca="false">FALSE()</f>
        <v>0</v>
      </c>
      <c r="G11" s="9" t="s">
        <v>297</v>
      </c>
      <c r="H11" s="8" t="s">
        <v>301</v>
      </c>
    </row>
    <row r="12" customFormat="false" ht="60" hidden="false" customHeight="true" outlineLevel="0" collapsed="false">
      <c r="A12" s="8" t="s">
        <v>150</v>
      </c>
      <c r="B12" s="8" t="s">
        <v>302</v>
      </c>
      <c r="C12" s="8" t="s">
        <v>303</v>
      </c>
      <c r="D12" s="8" t="n">
        <v>25</v>
      </c>
      <c r="E12" s="8" t="n">
        <v>11</v>
      </c>
      <c r="F12" s="16" t="b">
        <f aca="false">FALSE()</f>
        <v>0</v>
      </c>
      <c r="G12" s="9" t="s">
        <v>297</v>
      </c>
      <c r="H12" s="8" t="s">
        <v>304</v>
      </c>
    </row>
    <row r="13" customFormat="false" ht="60" hidden="false" customHeight="true" outlineLevel="0" collapsed="false">
      <c r="A13" s="8" t="s">
        <v>129</v>
      </c>
      <c r="B13" s="8" t="s">
        <v>305</v>
      </c>
      <c r="C13" s="8" t="s">
        <v>117</v>
      </c>
      <c r="D13" s="8" t="n">
        <v>3</v>
      </c>
      <c r="E13" s="8" t="n">
        <v>5</v>
      </c>
      <c r="F13" s="16" t="b">
        <f aca="false">FALSE()</f>
        <v>0</v>
      </c>
      <c r="G13" s="13" t="s">
        <v>117</v>
      </c>
      <c r="H13" s="8" t="s">
        <v>306</v>
      </c>
    </row>
    <row r="14" customFormat="false" ht="60" hidden="false" customHeight="true" outlineLevel="0" collapsed="false">
      <c r="A14" s="8" t="s">
        <v>145</v>
      </c>
      <c r="B14" s="8" t="s">
        <v>307</v>
      </c>
      <c r="C14" s="8" t="s">
        <v>308</v>
      </c>
      <c r="D14" s="8" t="n">
        <v>22</v>
      </c>
      <c r="E14" s="8" t="n">
        <v>13</v>
      </c>
      <c r="F14" s="16" t="b">
        <f aca="false">FALSE()</f>
        <v>0</v>
      </c>
      <c r="G14" s="13" t="s">
        <v>117</v>
      </c>
      <c r="H14" s="8" t="s">
        <v>309</v>
      </c>
    </row>
    <row r="15" customFormat="false" ht="60" hidden="false" customHeight="true" outlineLevel="0" collapsed="false">
      <c r="A15" s="8" t="s">
        <v>69</v>
      </c>
      <c r="B15" s="8" t="s">
        <v>310</v>
      </c>
      <c r="C15" s="8" t="s">
        <v>311</v>
      </c>
      <c r="D15" s="8" t="n">
        <v>69</v>
      </c>
      <c r="E15" s="8" t="n">
        <v>25</v>
      </c>
      <c r="F15" s="16" t="b">
        <f aca="false">FALSE()</f>
        <v>0</v>
      </c>
      <c r="G15" s="11" t="s">
        <v>312</v>
      </c>
      <c r="H15" s="8" t="s">
        <v>313</v>
      </c>
    </row>
    <row r="16" customFormat="false" ht="60" hidden="false" customHeight="true" outlineLevel="0" collapsed="false">
      <c r="A16" s="8" t="s">
        <v>158</v>
      </c>
      <c r="B16" s="8" t="s">
        <v>314</v>
      </c>
      <c r="C16" s="8" t="s">
        <v>315</v>
      </c>
      <c r="D16" s="8" t="n">
        <v>175</v>
      </c>
      <c r="E16" s="8" t="n">
        <v>12</v>
      </c>
      <c r="F16" s="16" t="b">
        <f aca="false">FALSE()</f>
        <v>0</v>
      </c>
      <c r="G16" s="11" t="s">
        <v>316</v>
      </c>
      <c r="H16" s="8" t="s">
        <v>317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17.35" hidden="false" customHeight="false" outlineLevel="0" collapsed="false">
      <c r="A1" s="1" t="s">
        <v>318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319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7" t="s">
        <v>273</v>
      </c>
      <c r="B4" s="7" t="s">
        <v>274</v>
      </c>
      <c r="C4" s="7" t="s">
        <v>275</v>
      </c>
      <c r="D4" s="7" t="s">
        <v>276</v>
      </c>
      <c r="E4" s="7" t="s">
        <v>277</v>
      </c>
      <c r="F4" s="7" t="s">
        <v>278</v>
      </c>
      <c r="G4" s="7" t="s">
        <v>279</v>
      </c>
      <c r="H4" s="7" t="s">
        <v>280</v>
      </c>
    </row>
    <row r="5" customFormat="false" ht="60" hidden="false" customHeight="true" outlineLevel="0" collapsed="false">
      <c r="A5" s="8" t="s">
        <v>320</v>
      </c>
      <c r="B5" s="8" t="s">
        <v>321</v>
      </c>
      <c r="C5" s="8" t="s">
        <v>117</v>
      </c>
      <c r="D5" s="8" t="n">
        <v>27</v>
      </c>
      <c r="E5" s="8" t="n">
        <v>7</v>
      </c>
      <c r="F5" s="16" t="b">
        <f aca="false">FALSE()</f>
        <v>0</v>
      </c>
      <c r="G5" s="13" t="s">
        <v>117</v>
      </c>
      <c r="H5" s="8" t="s">
        <v>322</v>
      </c>
    </row>
    <row r="6" customFormat="false" ht="60" hidden="false" customHeight="true" outlineLevel="0" collapsed="false">
      <c r="A6" s="8" t="s">
        <v>104</v>
      </c>
      <c r="B6" s="8" t="s">
        <v>323</v>
      </c>
      <c r="C6" s="8" t="s">
        <v>324</v>
      </c>
      <c r="D6" s="8" t="n">
        <v>29</v>
      </c>
      <c r="E6" s="8" t="n">
        <v>5</v>
      </c>
      <c r="F6" s="16" t="b">
        <f aca="false">FALSE()</f>
        <v>0</v>
      </c>
      <c r="G6" s="9" t="s">
        <v>297</v>
      </c>
      <c r="H6" s="8" t="s">
        <v>325</v>
      </c>
    </row>
    <row r="7" customFormat="false" ht="60" hidden="false" customHeight="true" outlineLevel="0" collapsed="false">
      <c r="A7" s="8" t="s">
        <v>100</v>
      </c>
      <c r="B7" s="8" t="s">
        <v>326</v>
      </c>
      <c r="C7" s="8" t="s">
        <v>327</v>
      </c>
      <c r="D7" s="8" t="n">
        <v>105</v>
      </c>
      <c r="E7" s="8" t="n">
        <v>13</v>
      </c>
      <c r="F7" s="16" t="b">
        <f aca="false">FALSE()</f>
        <v>0</v>
      </c>
      <c r="G7" s="9" t="s">
        <v>328</v>
      </c>
      <c r="H7" s="8" t="s">
        <v>329</v>
      </c>
    </row>
    <row r="8" customFormat="false" ht="60" hidden="false" customHeight="true" outlineLevel="0" collapsed="false">
      <c r="A8" s="8" t="s">
        <v>330</v>
      </c>
      <c r="B8" s="8" t="s">
        <v>331</v>
      </c>
      <c r="C8" s="8" t="s">
        <v>332</v>
      </c>
      <c r="D8" s="8" t="n">
        <v>11</v>
      </c>
      <c r="E8" s="8" t="n">
        <v>7</v>
      </c>
      <c r="F8" s="16" t="b">
        <f aca="false">FALSE()</f>
        <v>0</v>
      </c>
      <c r="G8" s="9" t="s">
        <v>297</v>
      </c>
      <c r="H8" s="8" t="s">
        <v>333</v>
      </c>
    </row>
    <row r="9" customFormat="false" ht="60" hidden="false" customHeight="true" outlineLevel="0" collapsed="false">
      <c r="A9" s="8" t="s">
        <v>334</v>
      </c>
      <c r="B9" s="8" t="s">
        <v>335</v>
      </c>
      <c r="C9" s="8" t="s">
        <v>336</v>
      </c>
      <c r="D9" s="8" t="n">
        <v>25</v>
      </c>
      <c r="E9" s="8" t="n">
        <v>13</v>
      </c>
      <c r="F9" s="16" t="b">
        <f aca="false">FALSE()</f>
        <v>0</v>
      </c>
      <c r="G9" s="13" t="s">
        <v>117</v>
      </c>
      <c r="H9" s="8" t="s">
        <v>337</v>
      </c>
    </row>
    <row r="10" customFormat="false" ht="60" hidden="false" customHeight="true" outlineLevel="0" collapsed="false">
      <c r="A10" s="8" t="s">
        <v>95</v>
      </c>
      <c r="B10" s="8" t="s">
        <v>338</v>
      </c>
      <c r="C10" s="8" t="s">
        <v>339</v>
      </c>
      <c r="D10" s="8" t="n">
        <v>10</v>
      </c>
      <c r="E10" s="8" t="n">
        <v>8</v>
      </c>
      <c r="F10" s="16" t="b">
        <f aca="false">FALSE()</f>
        <v>0</v>
      </c>
      <c r="G10" s="9" t="s">
        <v>340</v>
      </c>
      <c r="H10" s="8" t="s">
        <v>341</v>
      </c>
    </row>
    <row r="11" customFormat="false" ht="60" hidden="false" customHeight="true" outlineLevel="0" collapsed="false">
      <c r="A11" s="8" t="s">
        <v>342</v>
      </c>
      <c r="B11" s="8" t="s">
        <v>343</v>
      </c>
      <c r="C11" s="8" t="s">
        <v>344</v>
      </c>
      <c r="D11" s="8" t="n">
        <v>38</v>
      </c>
      <c r="E11" s="8" t="n">
        <v>14</v>
      </c>
      <c r="F11" s="16" t="b">
        <f aca="false">FALSE()</f>
        <v>0</v>
      </c>
      <c r="G11" s="9" t="s">
        <v>297</v>
      </c>
      <c r="H11" s="8" t="s">
        <v>345</v>
      </c>
    </row>
    <row r="12" customFormat="false" ht="60" hidden="false" customHeight="true" outlineLevel="0" collapsed="false">
      <c r="A12" s="8" t="s">
        <v>88</v>
      </c>
      <c r="B12" s="8" t="s">
        <v>346</v>
      </c>
      <c r="C12" s="8" t="s">
        <v>347</v>
      </c>
      <c r="D12" s="8" t="n">
        <v>46</v>
      </c>
      <c r="E12" s="8" t="n">
        <v>16</v>
      </c>
      <c r="F12" s="16" t="b">
        <f aca="false">FALSE()</f>
        <v>0</v>
      </c>
      <c r="G12" s="9" t="s">
        <v>297</v>
      </c>
      <c r="H12" s="8" t="s">
        <v>348</v>
      </c>
    </row>
    <row r="13" customFormat="false" ht="60" hidden="false" customHeight="true" outlineLevel="0" collapsed="false">
      <c r="A13" s="8" t="s">
        <v>92</v>
      </c>
      <c r="B13" s="8" t="s">
        <v>349</v>
      </c>
      <c r="C13" s="8" t="s">
        <v>117</v>
      </c>
      <c r="D13" s="8" t="n">
        <v>27</v>
      </c>
      <c r="E13" s="8" t="n">
        <v>12</v>
      </c>
      <c r="F13" s="16" t="b">
        <f aca="false">FALSE()</f>
        <v>0</v>
      </c>
      <c r="G13" s="13" t="s">
        <v>117</v>
      </c>
      <c r="H13" s="8" t="s">
        <v>350</v>
      </c>
    </row>
    <row r="14" customFormat="false" ht="60" hidden="false" customHeight="true" outlineLevel="0" collapsed="false">
      <c r="A14" s="8" t="s">
        <v>351</v>
      </c>
      <c r="B14" s="8" t="s">
        <v>352</v>
      </c>
      <c r="C14" s="8" t="s">
        <v>353</v>
      </c>
      <c r="D14" s="8" t="n">
        <v>18</v>
      </c>
      <c r="E14" s="8" t="n">
        <v>23</v>
      </c>
      <c r="F14" s="16" t="b">
        <f aca="false">FALSE()</f>
        <v>0</v>
      </c>
      <c r="G14" s="9" t="s">
        <v>312</v>
      </c>
      <c r="H14" s="8" t="s">
        <v>354</v>
      </c>
    </row>
    <row r="15" customFormat="false" ht="60" hidden="false" customHeight="true" outlineLevel="0" collapsed="false">
      <c r="A15" s="8" t="s">
        <v>158</v>
      </c>
      <c r="B15" s="8" t="s">
        <v>355</v>
      </c>
      <c r="C15" s="8" t="s">
        <v>356</v>
      </c>
      <c r="D15" s="8" t="n">
        <v>176</v>
      </c>
      <c r="E15" s="8" t="n">
        <v>11</v>
      </c>
      <c r="F15" s="16" t="b">
        <f aca="false">FALSE()</f>
        <v>0</v>
      </c>
      <c r="G15" s="9" t="s">
        <v>316</v>
      </c>
      <c r="H15" s="8" t="s">
        <v>357</v>
      </c>
    </row>
    <row r="16" customFormat="false" ht="60" hidden="false" customHeight="true" outlineLevel="0" collapsed="false">
      <c r="A16" s="8" t="s">
        <v>358</v>
      </c>
      <c r="B16" s="8" t="s">
        <v>359</v>
      </c>
      <c r="C16" s="8" t="s">
        <v>360</v>
      </c>
      <c r="D16" s="8" t="n">
        <v>170</v>
      </c>
      <c r="E16" s="8" t="n">
        <v>7</v>
      </c>
      <c r="F16" s="16" t="b">
        <f aca="false">FALSE()</f>
        <v>0</v>
      </c>
      <c r="G16" s="9" t="s">
        <v>316</v>
      </c>
      <c r="H16" s="8" t="s">
        <v>361</v>
      </c>
    </row>
    <row r="17" customFormat="false" ht="60" hidden="false" customHeight="true" outlineLevel="0" collapsed="false">
      <c r="A17" s="8" t="s">
        <v>362</v>
      </c>
      <c r="B17" s="8" t="s">
        <v>363</v>
      </c>
      <c r="C17" s="8" t="s">
        <v>364</v>
      </c>
      <c r="D17" s="8" t="n">
        <v>60</v>
      </c>
      <c r="E17" s="8" t="n">
        <v>15</v>
      </c>
      <c r="F17" s="16" t="b">
        <f aca="false">FALSE()</f>
        <v>0</v>
      </c>
      <c r="G17" s="9" t="s">
        <v>297</v>
      </c>
      <c r="H17" s="8" t="s">
        <v>365</v>
      </c>
    </row>
    <row r="18" customFormat="false" ht="60" hidden="false" customHeight="true" outlineLevel="0" collapsed="false">
      <c r="A18" s="8" t="s">
        <v>366</v>
      </c>
      <c r="B18" s="8" t="s">
        <v>367</v>
      </c>
      <c r="C18" s="8" t="s">
        <v>368</v>
      </c>
      <c r="D18" s="8" t="n">
        <v>1</v>
      </c>
      <c r="E18" s="8" t="n">
        <v>3</v>
      </c>
      <c r="F18" s="16" t="b">
        <f aca="false">TRUE()</f>
        <v>1</v>
      </c>
      <c r="G18" s="12" t="s">
        <v>369</v>
      </c>
      <c r="H18" s="8" t="s">
        <v>370</v>
      </c>
    </row>
    <row r="19" customFormat="false" ht="60" hidden="false" customHeight="true" outlineLevel="0" collapsed="false">
      <c r="A19" s="8" t="s">
        <v>371</v>
      </c>
      <c r="B19" s="8" t="s">
        <v>372</v>
      </c>
      <c r="C19" s="8" t="s">
        <v>117</v>
      </c>
      <c r="D19" s="8" t="n">
        <v>22</v>
      </c>
      <c r="E19" s="8" t="n">
        <v>7</v>
      </c>
      <c r="F19" s="16" t="b">
        <f aca="false">FALSE()</f>
        <v>0</v>
      </c>
      <c r="G19" s="13" t="s">
        <v>117</v>
      </c>
      <c r="H19" s="8" t="s">
        <v>373</v>
      </c>
    </row>
    <row r="20" customFormat="false" ht="60" hidden="false" customHeight="true" outlineLevel="0" collapsed="false">
      <c r="A20" s="8" t="s">
        <v>374</v>
      </c>
      <c r="B20" s="8" t="s">
        <v>343</v>
      </c>
      <c r="C20" s="8" t="s">
        <v>375</v>
      </c>
      <c r="D20" s="8" t="n">
        <v>38</v>
      </c>
      <c r="E20" s="8" t="n">
        <v>14</v>
      </c>
      <c r="F20" s="16" t="b">
        <f aca="false">FALSE()</f>
        <v>0</v>
      </c>
      <c r="G20" s="12" t="s">
        <v>376</v>
      </c>
      <c r="H20" s="8" t="s">
        <v>377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2026-05-25T03:09:25Z</dcterms:created>
  <dc:creator>openpyxl</dc:creator>
  <dc:description/>
  <dc:language>en-US</dc:language>
  <cp:lastModifiedBy/>
  <dcterms:modified xsi:type="dcterms:W3CDTF">2026-05-25T03:13:05Z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